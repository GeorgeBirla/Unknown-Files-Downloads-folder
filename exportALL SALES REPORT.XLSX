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"/>
    </mc:Choice>
  </mc:AlternateContent>
  <bookViews>
    <workbookView xWindow="0" yWindow="0" windowWidth="21860" windowHeight="14940"/>
  </bookViews>
  <sheets>
    <sheet name="Sheet2" sheetId="2" r:id="rId1"/>
    <sheet name="Sheet1" sheetId="1" r:id="rId2"/>
  </sheets>
  <definedNames>
    <definedName name="_xlnm._FilterDatabase" localSheetId="1" hidden="1">Sheet1!$A$1:$AJ$1</definedName>
  </definedNames>
  <calcPr calcId="162913"/>
  <pivotCaches>
    <pivotCache cacheId="7" r:id="rId3"/>
  </pivotCaches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F6" i="2"/>
</calcChain>
</file>

<file path=xl/sharedStrings.xml><?xml version="1.0" encoding="utf-8"?>
<sst xmlns="http://schemas.openxmlformats.org/spreadsheetml/2006/main" count="5069" uniqueCount="680">
  <si>
    <t>Z002</t>
  </si>
  <si>
    <t>SZ1</t>
  </si>
  <si>
    <t>R010</t>
  </si>
  <si>
    <t>CHENNAI</t>
  </si>
  <si>
    <t>AO06</t>
  </si>
  <si>
    <t>S757</t>
  </si>
  <si>
    <t>TVS Mobility-TN2</t>
  </si>
  <si>
    <t>5520</t>
  </si>
  <si>
    <t>TVS Mobility-Vellore</t>
  </si>
  <si>
    <t>VARADARAJAN V</t>
  </si>
  <si>
    <t>NANTHAKUMAR LOGANATHAN</t>
  </si>
  <si>
    <t>D67755201017</t>
  </si>
  <si>
    <t>0009072850</t>
  </si>
  <si>
    <t>0006366444</t>
  </si>
  <si>
    <t>Sales order</t>
  </si>
  <si>
    <t>C K DHAVASI TRADERS</t>
  </si>
  <si>
    <t>0012124534</t>
  </si>
  <si>
    <t>8428341234</t>
  </si>
  <si>
    <t>NO :- 3/22K POONNAGAR, JAFFARABAD, VANIYAMBADI, TIRUPATTUR TIRUPATTUR 635751</t>
  </si>
  <si>
    <t>S1</t>
  </si>
  <si>
    <t>PA1215/45 H CC</t>
  </si>
  <si>
    <t>ICV-Truck</t>
  </si>
  <si>
    <t>12T</t>
  </si>
  <si>
    <t>VANIYAMPADI</t>
  </si>
  <si>
    <t>MARKET LOAD</t>
  </si>
  <si>
    <t>CDB121520C0002</t>
  </si>
  <si>
    <t/>
  </si>
  <si>
    <t>1</t>
  </si>
  <si>
    <t>0002235944</t>
  </si>
  <si>
    <t>1</t>
  </si>
  <si>
    <t>0000944703</t>
  </si>
  <si>
    <t>5516</t>
  </si>
  <si>
    <t>TVS Mobility-Pondicherry</t>
  </si>
  <si>
    <t>JOHNSON SANTHAKUMAR</t>
  </si>
  <si>
    <t>S THANIGAIVELAN</t>
  </si>
  <si>
    <t>D67755161005</t>
  </si>
  <si>
    <t>0009056075</t>
  </si>
  <si>
    <t>0006364845</t>
  </si>
  <si>
    <t>DHANUSU</t>
  </si>
  <si>
    <t>0012429640</t>
  </si>
  <si>
    <t>9655292555</t>
  </si>
  <si>
    <t>S/o.Arumugam,No.24,Mariyamman Koil Street,Thalavanur Village Villupuram 605103</t>
  </si>
  <si>
    <t>NR4825/66 T TIP</t>
  </si>
  <si>
    <t>C&amp;M</t>
  </si>
  <si>
    <t>10X4 TIPPER</t>
  </si>
  <si>
    <t>PONDICHERY</t>
  </si>
  <si>
    <t>BLUE METAL</t>
  </si>
  <si>
    <t>CTN482529B0009</t>
  </si>
  <si>
    <t>0002294327</t>
  </si>
  <si>
    <t>12</t>
  </si>
  <si>
    <t>0000944619</t>
  </si>
  <si>
    <t>2</t>
  </si>
  <si>
    <t>5522</t>
  </si>
  <si>
    <t>TVS Mobility-Villupuram</t>
  </si>
  <si>
    <t>SEENUVASAN B</t>
  </si>
  <si>
    <t>D67755221011</t>
  </si>
  <si>
    <t>0009060368</t>
  </si>
  <si>
    <t>0006366473</t>
  </si>
  <si>
    <t>A RAMESH</t>
  </si>
  <si>
    <t>0012559710</t>
  </si>
  <si>
    <t>8825876029</t>
  </si>
  <si>
    <t>S/o:Arunachalam,No:169,Vinayagar Kovil Street,Eraiyur, Villupuram 604304</t>
  </si>
  <si>
    <t>UE2825/39 T TIP</t>
  </si>
  <si>
    <t>6X4 TIPPER</t>
  </si>
  <si>
    <t>VILLUPURAM</t>
  </si>
  <si>
    <t>CTU282516B0002</t>
  </si>
  <si>
    <t>0002294387</t>
  </si>
  <si>
    <t>0000944620</t>
  </si>
  <si>
    <t>VALLARASU A</t>
  </si>
  <si>
    <t>D67755221016</t>
  </si>
  <si>
    <t>0009076201</t>
  </si>
  <si>
    <t>0006366556</t>
  </si>
  <si>
    <t>TINDIVANAM</t>
  </si>
  <si>
    <t>0002298277</t>
  </si>
  <si>
    <t>0000944796</t>
  </si>
  <si>
    <t>5510</t>
  </si>
  <si>
    <t>TVS Mobility-Madhavaram</t>
  </si>
  <si>
    <t>GOPI N</t>
  </si>
  <si>
    <t>KARTHIKEYAN K</t>
  </si>
  <si>
    <t>D67755101004</t>
  </si>
  <si>
    <t>0009056058</t>
  </si>
  <si>
    <t>0006361880</t>
  </si>
  <si>
    <t>THOMAS IYADURAI INFRASTRUCTURE PRIVATE LIMITED</t>
  </si>
  <si>
    <t>0012553744</t>
  </si>
  <si>
    <t>7401008888</t>
  </si>
  <si>
    <t>1/2, M.D.SAMY NAGAR 1st STREET, ARUL NAGAR, MADHAVARAM MILK Chennai 600051</t>
  </si>
  <si>
    <t>MADHAVARAM</t>
  </si>
  <si>
    <t>CTU282516B0004</t>
  </si>
  <si>
    <t>0002298248</t>
  </si>
  <si>
    <t>0000944792</t>
  </si>
  <si>
    <t>UDAYAKUMAR K</t>
  </si>
  <si>
    <t>D67755101002</t>
  </si>
  <si>
    <t>0009056056</t>
  </si>
  <si>
    <t>0006343915</t>
  </si>
  <si>
    <t>N.KRISHNAN</t>
  </si>
  <si>
    <t>0010757355</t>
  </si>
  <si>
    <t>9444137879</t>
  </si>
  <si>
    <t>PERIYAVEDU TADA MANDALAM ANDHRA PRADESH NELLORE 524401</t>
  </si>
  <si>
    <t>S2</t>
  </si>
  <si>
    <t>GP4825/66 H CO</t>
  </si>
  <si>
    <t>Long Haulage</t>
  </si>
  <si>
    <t>10X2 MAV</t>
  </si>
  <si>
    <t>PARRYS</t>
  </si>
  <si>
    <t>CHC482530C0002</t>
  </si>
  <si>
    <t>MB1NECHD9PREN8167</t>
  </si>
  <si>
    <t>0002242207</t>
  </si>
  <si>
    <t>0000939965</t>
  </si>
  <si>
    <t>5512</t>
  </si>
  <si>
    <t>TVS Mobility-Ecomet (PME)</t>
  </si>
  <si>
    <t>MANIMARAN L</t>
  </si>
  <si>
    <t>RAMKUMAR P</t>
  </si>
  <si>
    <t>D67755121006</t>
  </si>
  <si>
    <t>0009056060</t>
  </si>
  <si>
    <t>0006375404</t>
  </si>
  <si>
    <t>Invoice</t>
  </si>
  <si>
    <t>SRI BALAJI TRADERS</t>
  </si>
  <si>
    <t>0012172232</t>
  </si>
  <si>
    <t>9865051535</t>
  </si>
  <si>
    <t>2/239, , MAIN ROAD KOLUMAM POST, UDUMALPET 642204</t>
  </si>
  <si>
    <t>S3</t>
  </si>
  <si>
    <t>CA1615/39 H FBL</t>
  </si>
  <si>
    <t>15T</t>
  </si>
  <si>
    <t>MADURAVOYAL</t>
  </si>
  <si>
    <t>CDE161517F0002</t>
  </si>
  <si>
    <t>MB1A3GCD2PREN6425</t>
  </si>
  <si>
    <t>0002299280</t>
  </si>
  <si>
    <t>0000944798</t>
  </si>
  <si>
    <t>5518</t>
  </si>
  <si>
    <t>TVS Mobility-Poonamalle</t>
  </si>
  <si>
    <t>MANIVANNAN K</t>
  </si>
  <si>
    <t>YOUGESH KANNAN G</t>
  </si>
  <si>
    <t>D67755181003</t>
  </si>
  <si>
    <t>0009056077</t>
  </si>
  <si>
    <t>0006365864</t>
  </si>
  <si>
    <t>VKV TRAVELS</t>
  </si>
  <si>
    <t>0012321661</t>
  </si>
  <si>
    <t>9597444222</t>
  </si>
  <si>
    <t>PROP OF: SUBRAMANIAN MEENAL
   SFNO.300A/2,,Alamathi Cattle Chennai 600052</t>
  </si>
  <si>
    <t>TF2513.5F6R</t>
  </si>
  <si>
    <t>MDV-Bus</t>
  </si>
  <si>
    <t>MCV BUS</t>
  </si>
  <si>
    <t>THIRUVALLUR</t>
  </si>
  <si>
    <t>LONG DISTANCE (INTERCITY)</t>
  </si>
  <si>
    <t>CCN25135D00011</t>
  </si>
  <si>
    <t>MB1PVELD9PEEL9427</t>
  </si>
  <si>
    <t>0002298169</t>
  </si>
  <si>
    <t>4</t>
  </si>
  <si>
    <t>0000944782</t>
  </si>
  <si>
    <t>SARAVANAN M</t>
  </si>
  <si>
    <t>BASKAR S</t>
  </si>
  <si>
    <t>D67755201005</t>
  </si>
  <si>
    <t>0009056081</t>
  </si>
  <si>
    <t>0006375448</t>
  </si>
  <si>
    <t>ARIVANANDAM N</t>
  </si>
  <si>
    <t>0012554238</t>
  </si>
  <si>
    <t>9442996756</t>
  </si>
  <si>
    <t>THIMMANOOR VALLIPATTU VANIYAMBADI 635752</t>
  </si>
  <si>
    <t>GF3520/63 H CO</t>
  </si>
  <si>
    <t>8X2 MAV</t>
  </si>
  <si>
    <t>CHC352026C0016</t>
  </si>
  <si>
    <t>MB1KJCHD3PRFM8557</t>
  </si>
  <si>
    <t>0002290225</t>
  </si>
  <si>
    <t>0000944787</t>
  </si>
  <si>
    <t>AKASH MUNUSAMY</t>
  </si>
  <si>
    <t>D67755201016</t>
  </si>
  <si>
    <t>0009070623</t>
  </si>
  <si>
    <t>0006379434</t>
  </si>
  <si>
    <t>KRISHNAN ELANGO</t>
  </si>
  <si>
    <t>0012187743</t>
  </si>
  <si>
    <t>9487545704</t>
  </si>
  <si>
    <t>NO.130/2,MBT ROAD,CHENNASAMUDRAM VILLAGE,THENKADAPPANTHANGAL RANIPET 632513</t>
  </si>
  <si>
    <t>RANIPET</t>
  </si>
  <si>
    <t>MB1XEVHD9PRFM6902</t>
  </si>
  <si>
    <t>0002300034</t>
  </si>
  <si>
    <t>0000944914</t>
  </si>
  <si>
    <t>0006381821</t>
  </si>
  <si>
    <t>MB1XEVHD2PRFM6904</t>
  </si>
  <si>
    <t>0006381726</t>
  </si>
  <si>
    <t>PREMDOSS</t>
  </si>
  <si>
    <t>0012558543</t>
  </si>
  <si>
    <t>9786432556</t>
  </si>
  <si>
    <t>NO 65 THANGARAJ STREET DEVADOSS NAGAR POONAMALLEE Chennai 600056</t>
  </si>
  <si>
    <t>PA1215/45 H FBL</t>
  </si>
  <si>
    <t>CDB121520H0003</t>
  </si>
  <si>
    <t>MB1AUPCC1PEEL7974</t>
  </si>
  <si>
    <t>0002301093</t>
  </si>
  <si>
    <t>0000944835</t>
  </si>
  <si>
    <t>0006382301</t>
  </si>
  <si>
    <t>MB1AUPCC8PEEL7888</t>
  </si>
  <si>
    <t>PRABAKARAN A</t>
  </si>
  <si>
    <t>D67755181031</t>
  </si>
  <si>
    <t>0009076979</t>
  </si>
  <si>
    <t>0006381308</t>
  </si>
  <si>
    <t>T RENGARAJU AND CO BUILDERS</t>
  </si>
  <si>
    <t>0012565589</t>
  </si>
  <si>
    <t>9551853681</t>
  </si>
  <si>
    <t>poonamallee poonamallee 600056</t>
  </si>
  <si>
    <t>MJ3520/52 T TIP</t>
  </si>
  <si>
    <t>8X4 TIPPER</t>
  </si>
  <si>
    <t>CTG352018B0007</t>
  </si>
  <si>
    <t>MB1JJDHD8MPJM9892</t>
  </si>
  <si>
    <t>0002301096</t>
  </si>
  <si>
    <t>0000945103</t>
  </si>
  <si>
    <t>K KARUKKUVELRAJ</t>
  </si>
  <si>
    <t>D67755121015</t>
  </si>
  <si>
    <t>0009056069</t>
  </si>
  <si>
    <t>0006382501</t>
  </si>
  <si>
    <t>D ROSSIAH</t>
  </si>
  <si>
    <t>0012565588</t>
  </si>
  <si>
    <t>9840082213</t>
  </si>
  <si>
    <t>45,MKN ROAD CHENNAI 600032</t>
  </si>
  <si>
    <t>NE2825N/39 T CC</t>
  </si>
  <si>
    <t>GUINDY</t>
  </si>
  <si>
    <t>CTN282516C0001</t>
  </si>
  <si>
    <t>MB1D3VLD3NPMN3802</t>
  </si>
  <si>
    <t>0002301095</t>
  </si>
  <si>
    <t>0000945104</t>
  </si>
  <si>
    <t>1000191091</t>
  </si>
  <si>
    <t>Return order</t>
  </si>
  <si>
    <t>-1</t>
  </si>
  <si>
    <t>0002293414</t>
  </si>
  <si>
    <t>0000942055</t>
  </si>
  <si>
    <t>1000197246</t>
  </si>
  <si>
    <t>0006379175</t>
  </si>
  <si>
    <t>V RAJASEKHAR REDDY</t>
  </si>
  <si>
    <t>0002207525</t>
  </si>
  <si>
    <t>9440909084</t>
  </si>
  <si>
    <t>JAYANAGAR COLONY,TADIPATRINATadpa Tadpatri Bazar 515411</t>
  </si>
  <si>
    <t>VELLORE LOCAL</t>
  </si>
  <si>
    <t>MB1NECHD2PRFM6445</t>
  </si>
  <si>
    <t>0002298221</t>
  </si>
  <si>
    <t>0000944656</t>
  </si>
  <si>
    <t>0006364690</t>
  </si>
  <si>
    <t>MB1H3LHD4PREN6670</t>
  </si>
  <si>
    <t>0002298390</t>
  </si>
  <si>
    <t>0000944224</t>
  </si>
  <si>
    <t>MOTHI BABU M</t>
  </si>
  <si>
    <t>HARI SHANKAR V</t>
  </si>
  <si>
    <t>D67755121032</t>
  </si>
  <si>
    <t>0009077357</t>
  </si>
  <si>
    <t>0006386884</t>
  </si>
  <si>
    <t>PALANI R</t>
  </si>
  <si>
    <t>0011543008</t>
  </si>
  <si>
    <t>7299808690</t>
  </si>
  <si>
    <t>4/57, RANNI ANNA NAGAR, TIRUSULAM, KANCHEEPURAM-600043 Chennai 600043</t>
  </si>
  <si>
    <t>CA1215/28 T TIP</t>
  </si>
  <si>
    <t>TAMBARAM</t>
  </si>
  <si>
    <t>OTHER CONSTRUCTION MATERIAL</t>
  </si>
  <si>
    <t>CDE131506T0004</t>
  </si>
  <si>
    <t>MB1GWGCDXPRDP2824</t>
  </si>
  <si>
    <t>0002298969</t>
  </si>
  <si>
    <t>0000944378</t>
  </si>
  <si>
    <t>0006384464</t>
  </si>
  <si>
    <t>R DEVARAJAN</t>
  </si>
  <si>
    <t>0011241405</t>
  </si>
  <si>
    <t>9962475091</t>
  </si>
  <si>
    <t>No.95, 1ST, KRISHNA NAGAR, MADIPPAKKAM, Kancheepuram 600091</t>
  </si>
  <si>
    <t>CDE131506T0004_YW</t>
  </si>
  <si>
    <t>MB1GWGCD9PRDP2815</t>
  </si>
  <si>
    <t>0002298005</t>
  </si>
  <si>
    <t>0000944475</t>
  </si>
  <si>
    <t>5514</t>
  </si>
  <si>
    <t>TVS Mobility-Padappai</t>
  </si>
  <si>
    <t>JEYARAJ D</t>
  </si>
  <si>
    <t>T RAMESH BABU</t>
  </si>
  <si>
    <t>D67755141002</t>
  </si>
  <si>
    <t>0009056047</t>
  </si>
  <si>
    <t>0006382749</t>
  </si>
  <si>
    <t>AMALA ANNAI BLUE METALS</t>
  </si>
  <si>
    <t>0011867682</t>
  </si>
  <si>
    <t>9566042135</t>
  </si>
  <si>
    <t>NO.7, ANNAI MARY 2ND STREET, KAMARAJAPURAM,
ANAKAPUTHUR kancheepuram 600070</t>
  </si>
  <si>
    <t>UJ3525/52 T TIP</t>
  </si>
  <si>
    <t>CHENGALPET</t>
  </si>
  <si>
    <t>CTU352523B0003</t>
  </si>
  <si>
    <t>0002301982</t>
  </si>
  <si>
    <t>0000944930</t>
  </si>
  <si>
    <t>0006389114</t>
  </si>
  <si>
    <t>CTU352523B0011</t>
  </si>
  <si>
    <t>MB1JJLHD4PREN5848</t>
  </si>
  <si>
    <t>0002302123</t>
  </si>
  <si>
    <t>0000944977</t>
  </si>
  <si>
    <t>THIRUMALSELVAN V</t>
  </si>
  <si>
    <t>D67755201015</t>
  </si>
  <si>
    <t>0009070571</t>
  </si>
  <si>
    <t>0006389136</t>
  </si>
  <si>
    <t>N SARAVANAN</t>
  </si>
  <si>
    <t>0012550770</t>
  </si>
  <si>
    <t>9488853831</t>
  </si>
  <si>
    <t>S/O. NATARAJAN, NO. 2/27, ARASAMARA STREET, ONGAPADI VILLAGE VELLORE 632101</t>
  </si>
  <si>
    <t>MB1AUPCC1PEGL4255</t>
  </si>
  <si>
    <t>0002287619</t>
  </si>
  <si>
    <t>0000945347</t>
  </si>
  <si>
    <t>SURENDAR E</t>
  </si>
  <si>
    <t>THIRUMALAIRAJAN J</t>
  </si>
  <si>
    <t>D67755221015</t>
  </si>
  <si>
    <t>0009076200</t>
  </si>
  <si>
    <t>0006381104</t>
  </si>
  <si>
    <t>CHANDIRASEKAR</t>
  </si>
  <si>
    <t>0012539175</t>
  </si>
  <si>
    <t>9003642165</t>
  </si>
  <si>
    <t>S/o, Murugaiyan, No.190, Murugan kovil street, Kedar, Villup Vilupuram 605402</t>
  </si>
  <si>
    <t>MB1AUPCC8PEFL6050</t>
  </si>
  <si>
    <t>0002277914</t>
  </si>
  <si>
    <t>0000941938</t>
  </si>
  <si>
    <t>0006396959</t>
  </si>
  <si>
    <t>NEW TRAVEL LIINES INDIA PRIVATE LIMITED</t>
  </si>
  <si>
    <t>0012425805</t>
  </si>
  <si>
    <t>9586688775</t>
  </si>
  <si>
    <t>PLOT NO-1, RAM NAGAR NORTH,MADIPAKKAM,GANGAI STREET, Kancheepuram 600091</t>
  </si>
  <si>
    <t>LS1510.3C6RV</t>
  </si>
  <si>
    <t>ICV-Bus</t>
  </si>
  <si>
    <t>ICV BUS</t>
  </si>
  <si>
    <t>STAFF BUS</t>
  </si>
  <si>
    <t>CCL15103G00005</t>
  </si>
  <si>
    <t>MB1PAEDDXPEDM1565</t>
  </si>
  <si>
    <t>0002304722</t>
  </si>
  <si>
    <t>0000945577</t>
  </si>
  <si>
    <t>BALAJI G</t>
  </si>
  <si>
    <t>D67755121026</t>
  </si>
  <si>
    <t>0009069193</t>
  </si>
  <si>
    <t>0006391885</t>
  </si>
  <si>
    <t>SRI VINAYAGAMURUGAN AGENCIES</t>
  </si>
  <si>
    <t>0012344353</t>
  </si>
  <si>
    <t>9751724201</t>
  </si>
  <si>
    <t>Survey No.: 155/9B, Cheyyur-Pavunjur Road, Ammanur Village, Chennai 603311</t>
  </si>
  <si>
    <t>CA1915/47 H CC</t>
  </si>
  <si>
    <t>POL</t>
  </si>
  <si>
    <t>CDE1915POC0002_WH</t>
  </si>
  <si>
    <t>MB1A5HCD2PEGL3515</t>
  </si>
  <si>
    <t>0002286109</t>
  </si>
  <si>
    <t>0000940109</t>
  </si>
  <si>
    <t>SAI PRASAD H</t>
  </si>
  <si>
    <t>D67755121017</t>
  </si>
  <si>
    <t>0009056071</t>
  </si>
  <si>
    <t>1000199211</t>
  </si>
  <si>
    <t>GLOVIS INDIA PRIVATE LIMITED</t>
  </si>
  <si>
    <t>0012448180</t>
  </si>
  <si>
    <t>9840784888</t>
  </si>
  <si>
    <t>Place of Business
109, GLOVIS INDIA PRIVATE LIMITED, MANNUR SRIPERUMBUDUR 602105</t>
  </si>
  <si>
    <t>CA1615/52 H CC</t>
  </si>
  <si>
    <t>KANCHEEPURAM</t>
  </si>
  <si>
    <t>CDE161524C0002</t>
  </si>
  <si>
    <t>MB1A3GCD3PREN5834</t>
  </si>
  <si>
    <t>0002298394</t>
  </si>
  <si>
    <t>5</t>
  </si>
  <si>
    <t>0000940508</t>
  </si>
  <si>
    <t>1000192885</t>
  </si>
  <si>
    <t>MB1A3GCD7PREN5836</t>
  </si>
  <si>
    <t>0006388675</t>
  </si>
  <si>
    <t>0002303533</t>
  </si>
  <si>
    <t>0000945763</t>
  </si>
  <si>
    <t>1000192153</t>
  </si>
  <si>
    <t>MB1A3GCD9PRFM9054</t>
  </si>
  <si>
    <t>0002297890</t>
  </si>
  <si>
    <t>6</t>
  </si>
  <si>
    <t>0000944709</t>
  </si>
  <si>
    <t>1000200607</t>
  </si>
  <si>
    <t>MB1A3GCD8PREN6431</t>
  </si>
  <si>
    <t>1000247552</t>
  </si>
  <si>
    <t>MB1A3GCD9PREN5837</t>
  </si>
  <si>
    <t>0006400382</t>
  </si>
  <si>
    <t>0006398843</t>
  </si>
  <si>
    <t>0006387520</t>
  </si>
  <si>
    <t>0006400502</t>
  </si>
  <si>
    <t>0006391750</t>
  </si>
  <si>
    <t>RAMAKRISHNAN MAHENDRAN</t>
  </si>
  <si>
    <t>0012562912</t>
  </si>
  <si>
    <t>8800000111</t>
  </si>
  <si>
    <t>SHOP NO-B-20, NO-6, SRIJI MAJESTIC COMPLEX KOYAMBEDU Chennai 600107</t>
  </si>
  <si>
    <t>CCN25135D00006</t>
  </si>
  <si>
    <t>MB1PVELD3PEDM1266</t>
  </si>
  <si>
    <t>0002297947</t>
  </si>
  <si>
    <t>0000944397</t>
  </si>
  <si>
    <t>0006397176</t>
  </si>
  <si>
    <t>MB1PVELD0PEDM1645</t>
  </si>
  <si>
    <t>0006397175</t>
  </si>
  <si>
    <t>MB1PVELD0PEDM1337</t>
  </si>
  <si>
    <t>0006398763</t>
  </si>
  <si>
    <t>MB1PVELD0PEDM1533</t>
  </si>
  <si>
    <t>KARTHIKEYAN B</t>
  </si>
  <si>
    <t>D67755221013</t>
  </si>
  <si>
    <t>0009065121</t>
  </si>
  <si>
    <t>0006392470</t>
  </si>
  <si>
    <t>E2673 SRIMUSHNAM PRIMARY AGRICULTURAL CO OPERATIVE CREDIT SOCIETY LIMITED</t>
  </si>
  <si>
    <t>0012563138</t>
  </si>
  <si>
    <t>9942698522</t>
  </si>
  <si>
    <t>PACCS BUILDING COMPLEX VRIDHACHALAM MAIN ROAD SRIMUSHNAM Vridhachalam 608703</t>
  </si>
  <si>
    <t>CA1615/42 H FBL</t>
  </si>
  <si>
    <t>VIRUDHACHALAM</t>
  </si>
  <si>
    <t>FOOD GRAINS</t>
  </si>
  <si>
    <t>CDE161520H0007</t>
  </si>
  <si>
    <t>MB1A3GCD3PEEL7941</t>
  </si>
  <si>
    <t>0002298344</t>
  </si>
  <si>
    <t>0000945326</t>
  </si>
  <si>
    <t>0006398504</t>
  </si>
  <si>
    <t>CA1415/47 H CC</t>
  </si>
  <si>
    <t>AUTO PARTS</t>
  </si>
  <si>
    <t>CDE141522C0003</t>
  </si>
  <si>
    <t>MB1AYGCD3PRDP4222</t>
  </si>
  <si>
    <t>0002303538</t>
  </si>
  <si>
    <t>3</t>
  </si>
  <si>
    <t>0000945631</t>
  </si>
  <si>
    <t>0006386866</t>
  </si>
  <si>
    <t>CONCRETE OEM PRIVATE LIMITED</t>
  </si>
  <si>
    <t>0011489167</t>
  </si>
  <si>
    <t>9384838384</t>
  </si>
  <si>
    <t>SF No.186 and 188, Concrete OEM Private Limited, Erikarai Ro Chennai 600069</t>
  </si>
  <si>
    <t>UE2820/39 R RMC</t>
  </si>
  <si>
    <t>RMC</t>
  </si>
  <si>
    <t>CHU2820S07NM01</t>
  </si>
  <si>
    <t>0002304266</t>
  </si>
  <si>
    <t>0000945792</t>
  </si>
  <si>
    <t>0006391037</t>
  </si>
  <si>
    <t>0006396963</t>
  </si>
  <si>
    <t>0006394622</t>
  </si>
  <si>
    <t>0006396146</t>
  </si>
  <si>
    <t>0006396302</t>
  </si>
  <si>
    <t>SHANMUGASUNDARAM M</t>
  </si>
  <si>
    <t>VIJAYAN P</t>
  </si>
  <si>
    <t>D67755121008</t>
  </si>
  <si>
    <t>0009056062</t>
  </si>
  <si>
    <t>0006395581</t>
  </si>
  <si>
    <t>BALAJI C</t>
  </si>
  <si>
    <t>0012536853</t>
  </si>
  <si>
    <t>9940883817</t>
  </si>
  <si>
    <t>NO.1031,METTU STREET SERPAKKAM,VADUGASATHU ARNI 632316</t>
  </si>
  <si>
    <t>CA1915/47 H FBL</t>
  </si>
  <si>
    <t>CDE191522W0003_WH</t>
  </si>
  <si>
    <t>MB1A5GCD9PRFM5693</t>
  </si>
  <si>
    <t>0002276042</t>
  </si>
  <si>
    <t>0000939213</t>
  </si>
  <si>
    <t>0006392897</t>
  </si>
  <si>
    <t>MB1A3GCD1PREN6433</t>
  </si>
  <si>
    <t>0002303562</t>
  </si>
  <si>
    <t>0000945527</t>
  </si>
  <si>
    <t>0006400675</t>
  </si>
  <si>
    <t>MB1A3GCD5PREN5835</t>
  </si>
  <si>
    <t>0006394439</t>
  </si>
  <si>
    <t>MB1A3GCD6PREN6430</t>
  </si>
  <si>
    <t>0006402851</t>
  </si>
  <si>
    <t>MB1A3GCDXPREN6432</t>
  </si>
  <si>
    <t>0006401606</t>
  </si>
  <si>
    <t>MB1A3GCD3PREN6434</t>
  </si>
  <si>
    <t>0006394438</t>
  </si>
  <si>
    <t>MB1A3GCD1PREN5833</t>
  </si>
  <si>
    <t>KOVARTHANAN P</t>
  </si>
  <si>
    <t>D67755221003</t>
  </si>
  <si>
    <t>0009056086</t>
  </si>
  <si>
    <t>0006388969</t>
  </si>
  <si>
    <t>MOVUR PRIMARY AGRICULTURAL CO OPERATIVE CREDIT SOCIETY LTD E2607</t>
  </si>
  <si>
    <t>0012563124</t>
  </si>
  <si>
    <t>9442866194</t>
  </si>
  <si>
    <t>Movur Cuddalore Kattumannar koil 608301</t>
  </si>
  <si>
    <t>CUDDALORE</t>
  </si>
  <si>
    <t>MB1A3GCD6PEJL0292</t>
  </si>
  <si>
    <t>0002303321</t>
  </si>
  <si>
    <t>0000945465</t>
  </si>
  <si>
    <t>1000249850</t>
  </si>
  <si>
    <t>0006400676</t>
  </si>
  <si>
    <t>T EKAMBARAM</t>
  </si>
  <si>
    <t>0012569187</t>
  </si>
  <si>
    <t>8248912535</t>
  </si>
  <si>
    <t>No.124/13C, Borax Nagar, Peravallur, Ponneri, Thiruvallur, T THIRUVALLUR 601204</t>
  </si>
  <si>
    <t>GUMMIDIPOONDI</t>
  </si>
  <si>
    <t>CTU352523B0007</t>
  </si>
  <si>
    <t>MB1JJLHD4PRFM5498</t>
  </si>
  <si>
    <t>0002304032</t>
  </si>
  <si>
    <t>0000945686</t>
  </si>
  <si>
    <t>1000242815</t>
  </si>
  <si>
    <t>1000248410</t>
  </si>
  <si>
    <t>1000253068</t>
  </si>
  <si>
    <t>1000203475</t>
  </si>
  <si>
    <t>MB1AYGCD7PRDP4224</t>
  </si>
  <si>
    <t>0002298395</t>
  </si>
  <si>
    <t>0000943037</t>
  </si>
  <si>
    <t>1000215697</t>
  </si>
  <si>
    <t>0006401332</t>
  </si>
  <si>
    <t>0006400698</t>
  </si>
  <si>
    <t>MB1AYGCDXPRDP4220</t>
  </si>
  <si>
    <t>0006397819</t>
  </si>
  <si>
    <t>EYYALUR PRIMARY AGRICULTURAL CO OPERATIVE CREDIT SOCIETY LTD(E2723)</t>
  </si>
  <si>
    <t>0012563127</t>
  </si>
  <si>
    <t>9965098133</t>
  </si>
  <si>
    <t>Eyyalur Cuddalore Kattumannar koil 608301</t>
  </si>
  <si>
    <t>MB1A3GCD6PEEL7934</t>
  </si>
  <si>
    <t>0002298338</t>
  </si>
  <si>
    <t>0000945793</t>
  </si>
  <si>
    <t>1000253070</t>
  </si>
  <si>
    <t>1000202182</t>
  </si>
  <si>
    <t>1000253069</t>
  </si>
  <si>
    <t>0006406142</t>
  </si>
  <si>
    <t>S.PRASATH</t>
  </si>
  <si>
    <t>0011844802</t>
  </si>
  <si>
    <t>8056963876</t>
  </si>
  <si>
    <t>S/o Soundararajan, D.No:5/4-31/1, Indira Nagar, Karuppur, Om Omalur 636012</t>
  </si>
  <si>
    <t>PARCEL LOADS</t>
  </si>
  <si>
    <t>MB1AUPCC7PEFL6041</t>
  </si>
  <si>
    <t>0002305417</t>
  </si>
  <si>
    <t>0000946164</t>
  </si>
  <si>
    <t>0006408477</t>
  </si>
  <si>
    <t>ABISHA MICHEAL</t>
  </si>
  <si>
    <t>0012561475</t>
  </si>
  <si>
    <t>8569743215</t>
  </si>
  <si>
    <t>No.19, Kovil St, Kamarajapuram, Ankaputhur Chennai 600070</t>
  </si>
  <si>
    <t>MB1JJLHD0PRFM6454</t>
  </si>
  <si>
    <t>0002306647</t>
  </si>
  <si>
    <t>0000946332</t>
  </si>
  <si>
    <t>0006402356</t>
  </si>
  <si>
    <t>MB1JJLHD4PRFM8384</t>
  </si>
  <si>
    <t>0000946190</t>
  </si>
  <si>
    <t>0006401612</t>
  </si>
  <si>
    <t>SATHISH KUMAR.C</t>
  </si>
  <si>
    <t>0001988805</t>
  </si>
  <si>
    <t>9789813883</t>
  </si>
  <si>
    <t>S/O K.CHANDRAN #17/1 SEMPALLI ROAD PERUMPADI VILL VELLORE DIST 632602</t>
  </si>
  <si>
    <t>GM4220/66 H CO</t>
  </si>
  <si>
    <t>CHC422030C0008</t>
  </si>
  <si>
    <t>MB1NGCHD7PRGL7544</t>
  </si>
  <si>
    <t>0002300704</t>
  </si>
  <si>
    <t>0000945885</t>
  </si>
  <si>
    <t>0006406851</t>
  </si>
  <si>
    <t>MB1NGCHD9PRFM1351</t>
  </si>
  <si>
    <t>UMAPATHI C</t>
  </si>
  <si>
    <t>D67755121012</t>
  </si>
  <si>
    <t>0009056066</t>
  </si>
  <si>
    <t>0006405838</t>
  </si>
  <si>
    <t>MB1A3GCDXPRCP8764</t>
  </si>
  <si>
    <t>0002304417</t>
  </si>
  <si>
    <t>0000945466</t>
  </si>
  <si>
    <t>0006407323</t>
  </si>
  <si>
    <t>MB1A3GCD0PRCP8756</t>
  </si>
  <si>
    <t>1000247010</t>
  </si>
  <si>
    <t>ABDUL KAREEM H</t>
  </si>
  <si>
    <t>0011171350</t>
  </si>
  <si>
    <t>7010270103</t>
  </si>
  <si>
    <t>S/O ABDUL HAMEED NO.62 NEW N0.140 Vellore 632004</t>
  </si>
  <si>
    <t>VK2011.4T6R</t>
  </si>
  <si>
    <t>TOURIST BUS</t>
  </si>
  <si>
    <t>CCV20114D00048</t>
  </si>
  <si>
    <t>MB1PBEHD0PEEL8202</t>
  </si>
  <si>
    <t>0002298315</t>
  </si>
  <si>
    <t>0000944861</t>
  </si>
  <si>
    <t>1000253348</t>
  </si>
  <si>
    <t>0002295985</t>
  </si>
  <si>
    <t>0000943119</t>
  </si>
  <si>
    <t>1000250883</t>
  </si>
  <si>
    <t>0000943651</t>
  </si>
  <si>
    <t>0006416484</t>
  </si>
  <si>
    <t>MB1H3LHD4PRJK1812</t>
  </si>
  <si>
    <t>0002308436</t>
  </si>
  <si>
    <t>0000946953</t>
  </si>
  <si>
    <t>NANDHAKUMAR G</t>
  </si>
  <si>
    <t>D67755201008</t>
  </si>
  <si>
    <t>0009056084</t>
  </si>
  <si>
    <t>0006418831</t>
  </si>
  <si>
    <t>D.KRISHNASARATHI</t>
  </si>
  <si>
    <t>0011772689</t>
  </si>
  <si>
    <t>9361721242</t>
  </si>
  <si>
    <t>S/O,DHAMODHARAN,35,BAJANAI KOVIL STREET,EDAPALAYAM,PADIYAMPA RANIPET 632513</t>
  </si>
  <si>
    <t>0002293484</t>
  </si>
  <si>
    <t>0000947093</t>
  </si>
  <si>
    <t>0006418484</t>
  </si>
  <si>
    <t>ARTHI T</t>
  </si>
  <si>
    <t>0012564123</t>
  </si>
  <si>
    <t>9943643943</t>
  </si>
  <si>
    <t>19th MILESTONE AMIRTHI ROAD NSN TRADERS PERIYA CHITTERI VELL VELLORE 632002</t>
  </si>
  <si>
    <t>CTU352522B0007</t>
  </si>
  <si>
    <t>MB1JJLHD0PPGX2356</t>
  </si>
  <si>
    <t>0002299554</t>
  </si>
  <si>
    <t>0000947013</t>
  </si>
  <si>
    <t>0006413966</t>
  </si>
  <si>
    <t>R.VELMURUGAN</t>
  </si>
  <si>
    <t>0012565203</t>
  </si>
  <si>
    <t>9942751861</t>
  </si>
  <si>
    <t>S/O.Ramakrishnan,No.4,Perumal Koil Street,Vizhuthiyur,Karaik Pondicherry 609607</t>
  </si>
  <si>
    <t>KARAIKAL</t>
  </si>
  <si>
    <t>MB1H3LHD3PRCP8671</t>
  </si>
  <si>
    <t>0002300696</t>
  </si>
  <si>
    <t>0000944434</t>
  </si>
  <si>
    <t>1000250480</t>
  </si>
  <si>
    <t>YAMINI R</t>
  </si>
  <si>
    <t>0012555446</t>
  </si>
  <si>
    <t>8600598203</t>
  </si>
  <si>
    <t>BAJANAI KOIL STREET,ARUMBAKKAM THIRUVALLUR 602021</t>
  </si>
  <si>
    <t>CTU352522B0002</t>
  </si>
  <si>
    <t>MB1JJLHD0PREN7077</t>
  </si>
  <si>
    <t>0002296163</t>
  </si>
  <si>
    <t>0000942975</t>
  </si>
  <si>
    <t>1000234402</t>
  </si>
  <si>
    <t>V.S.RAJESH KUMAR</t>
  </si>
  <si>
    <t>0010264280</t>
  </si>
  <si>
    <t>9894760003</t>
  </si>
  <si>
    <t>NO;32,PERUMAL KOIL STREET,MEDHUR PO TIRUVALLUR 601204</t>
  </si>
  <si>
    <t>MB1JJLHD7PPGX2371</t>
  </si>
  <si>
    <t>0002273782</t>
  </si>
  <si>
    <t>0000940965</t>
  </si>
  <si>
    <t>LEENUS RAJ G</t>
  </si>
  <si>
    <t>GOWTHAM K</t>
  </si>
  <si>
    <t>D67755161004</t>
  </si>
  <si>
    <t>0009056074</t>
  </si>
  <si>
    <t>0006416716</t>
  </si>
  <si>
    <t>GOPINATH</t>
  </si>
  <si>
    <t>0012538887</t>
  </si>
  <si>
    <t>9626843661</t>
  </si>
  <si>
    <t>Sivasakthi nagar, Chinnakalipattu, Villupuram(Tk). Villupuram 605105</t>
  </si>
  <si>
    <t>MB1AUPCC3PEFL6165</t>
  </si>
  <si>
    <t>0002306593</t>
  </si>
  <si>
    <t>0000946442</t>
  </si>
  <si>
    <t>0006416985</t>
  </si>
  <si>
    <t>MB1H3LHD1PRGM1002</t>
  </si>
  <si>
    <t>0006416483</t>
  </si>
  <si>
    <t>MB1H3LHD7PRJK3568</t>
  </si>
  <si>
    <t>0006416739</t>
  </si>
  <si>
    <t>MB1H3LHD5PRJK1818</t>
  </si>
  <si>
    <t>0006416146</t>
  </si>
  <si>
    <t>MB1H3LHD5PRGM1004</t>
  </si>
  <si>
    <t>0006417733</t>
  </si>
  <si>
    <t>MB1H3LHD3PRGM1003</t>
  </si>
  <si>
    <t>0006416862</t>
  </si>
  <si>
    <t>II600THIRUVENNAINALLUR PRIMARY AGRICULTURAL COOP CREDIT SOCEITY LIMITED</t>
  </si>
  <si>
    <t>0012568199</t>
  </si>
  <si>
    <t>9943482808</t>
  </si>
  <si>
    <t>No.1, Main Road, Thiruvennainallur, Villupuram. Thiruvennainallur 607203</t>
  </si>
  <si>
    <t>0002303315</t>
  </si>
  <si>
    <t>0000947004</t>
  </si>
  <si>
    <t>0006417144</t>
  </si>
  <si>
    <t>0002305247</t>
  </si>
  <si>
    <t>0000946337</t>
  </si>
  <si>
    <t>A RAVI VARMA</t>
  </si>
  <si>
    <t>D67755121014</t>
  </si>
  <si>
    <t>0009056068</t>
  </si>
  <si>
    <t>0006416736</t>
  </si>
  <si>
    <t>MURALI RANGANATHAN</t>
  </si>
  <si>
    <t>0012033963</t>
  </si>
  <si>
    <t>7299336426</t>
  </si>
  <si>
    <t>NO 1/11, NO 1/18 RAJA NAICKER STREET,SIVABOOTHAM VANAGARAM, Chennai 600095</t>
  </si>
  <si>
    <t>0002265611</t>
  </si>
  <si>
    <t>0000943596</t>
  </si>
  <si>
    <t>Zone</t>
  </si>
  <si>
    <t>Zone - Name</t>
  </si>
  <si>
    <t>Region</t>
  </si>
  <si>
    <t>Region - Name</t>
  </si>
  <si>
    <t>Area Code</t>
  </si>
  <si>
    <t>Area Office - Name</t>
  </si>
  <si>
    <t>Sales Org</t>
  </si>
  <si>
    <t>Dealership - Name</t>
  </si>
  <si>
    <t>Dealer Outlet Code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</si>
  <si>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</si>
  <si>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</si>
  <si>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</si>
  <si>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</si>
  <si>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</si>
  <si>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</si>
  <si>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</si>
  <si>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</si>
  <si>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</si>
  <si>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</si>
  <si>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</si>
  <si>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</si>
  <si>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</si>
  <si>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</si>
  <si>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</si>
  <si>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</si>
  <si>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</si>
  <si>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</si>
  <si>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</si>
  <si>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</si>
  <si>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</si>
  <si>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</si>
  <si>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</si>
  <si>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</si>
  <si>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</si>
  <si>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</si>
  <si>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</si>
  <si>
    <t>(All)</t>
  </si>
  <si>
    <t>Column Labels</t>
  </si>
  <si>
    <t>Grand Total</t>
  </si>
  <si>
    <t>Count of Qty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</si>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</sst>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eorge Birla  Bose (Sales)" refreshedDate="45245.455037615742" createdVersion="6" refreshedVersion="6" minRefreshableVersion="3" recordCount="152">
  <cacheSource type="worksheet">
    <worksheetSource ref="A1:AJ153" sheet="Sheet1"/>
  </cacheSource>
  <cacheFields count="36">
    <cacheField name="Zone" numFmtId="0">
      <sharedItems/>
    </cacheField>
    <cacheField name="Zone - Name" numFmtId="0">
      <sharedItems/>
    </cacheField>
    <cacheField name="Region" numFmtId="0">
      <sharedItems/>
    </cacheField>
    <cacheField name="Region - Name" numFmtId="0">
      <sharedItems/>
    </cacheField>
    <cacheField name="Area Code" numFmtId="0">
      <sharedItems/>
    </cacheField>
    <cacheField name="Area Office - Name" numFmtId="0">
      <sharedItems/>
    </cacheField>
    <cacheField name="Sales Org" numFmtId="0">
      <sharedItems/>
    </cacheField>
    <cacheField name="Dealership - Name" numFmtId="0">
      <sharedItems count="1">
        <s v="TVS Mobility-TN2"/>
      </sharedItems>
    </cacheField>
    <cacheField name="Dealer Outlet Code" numFmtId="0">
      <sharedItems/>
    </cacheField>
    <cacheField name="Dealer Outlet - Name" numFmtId="0">
      <sharedItems count="7">
        <s v="TVS Mobility-Vellore"/>
        <s v="TVS Mobility-Pondicherry"/>
        <s v="TVS Mobility-Villupuram"/>
        <s v="TVS Mobility-Madhavaram"/>
        <s v="TVS Mobility-Ecomet (PME)"/>
        <s v="TVS Mobility-Poonamalle"/>
        <s v="TVS Mobility-Padappai"/>
      </sharedItems>
    </cacheField>
    <cacheField name="DL Manager" numFmtId="0">
      <sharedItems count="11">
        <s v="VARADARAJAN V"/>
        <s v="JOHNSON SANTHAKUMAR"/>
        <s v="GOPI N"/>
        <s v="MANIMARAN L"/>
        <s v="MANIVANNAN K"/>
        <s v="SARAVANAN M"/>
        <s v="MOTHI BABU M"/>
        <s v="JEYARAJ D"/>
        <s v="SURENDAR E"/>
        <s v="SHANMUGASUNDARAM M"/>
        <s v="LEENUS RAJ G"/>
      </sharedItems>
    </cacheField>
    <cacheField name="DSE" numFmtId="0">
      <sharedItems/>
    </cacheField>
    <cacheField name="Source Number" numFmtId="0">
      <sharedItems/>
    </cacheField>
    <cacheField name="Employee Number" numFmtId="0">
      <sharedItems/>
    </cacheField>
    <cacheField name="Creation Date" numFmtId="14">
      <sharedItems containsSemiMixedTypes="0" containsNonDate="0" containsDate="1" containsString="0" minDate="2023-11-01T00:00:00" maxDate="2023-11-15T00:00:00"/>
    </cacheField>
    <cacheField name="Transaction No" numFmtId="0">
      <sharedItems/>
    </cacheField>
    <cacheField name="Transaction Type" numFmtId="0">
      <sharedItems count="3">
        <s v="Sales order"/>
        <s v="Invoice"/>
        <s v="Return order"/>
      </sharedItems>
    </cacheField>
    <cacheField name="Customer Name" numFmtId="0">
      <sharedItems/>
    </cacheField>
    <cacheField name="Customer No" numFmtId="0">
      <sharedItems/>
    </cacheField>
    <cacheField name="Customer Phone No" numFmtId="0">
      <sharedItems/>
    </cacheField>
    <cacheField name="Address" numFmtId="0">
      <sharedItems/>
    </cacheField>
    <cacheField name="Stage" numFmtId="0">
      <sharedItems/>
    </cacheField>
    <cacheField name="Model" numFmtId="0">
      <sharedItems/>
    </cacheField>
    <cacheField name="Vertical" numFmtId="0">
      <sharedItems count="5">
        <s v="ICV-Truck"/>
        <s v="C&amp;M"/>
        <s v="Long Haulage"/>
        <s v="MDV-Bus"/>
        <s v="ICV-Bus"/>
      </sharedItems>
    </cacheField>
    <cacheField name="Segment" numFmtId="0">
      <sharedItems/>
    </cacheField>
    <cacheField name="Hub" numFmtId="0">
      <sharedItems/>
    </cacheField>
    <cacheField name="Application" numFmtId="0">
      <sharedItems/>
    </cacheField>
    <cacheField name="Vpart" numFmtId="0">
      <sharedItems/>
    </cacheField>
    <cacheField name="Chassis No" numFmtId="0">
      <sharedItems/>
    </cacheField>
    <cacheField name="Qty" numFmtId="0">
      <sharedItems count="2">
        <s v="1"/>
        <s v="-1"/>
      </sharedItems>
    </cacheField>
    <cacheField name="Lead Number" numFmtId="0">
      <sharedItems/>
    </cacheField>
    <cacheField name="Lead Creation date" numFmtId="14">
      <sharedItems containsSemiMixedTypes="0" containsNonDate="0" containsDate="1" containsString="0" minDate="2023-09-12T00:00:00" maxDate="2023-11-15T00:00:00"/>
    </cacheField>
    <cacheField name="Lead Quatity" numFmtId="0">
      <sharedItems/>
    </cacheField>
    <cacheField name="Prospect ID" numFmtId="0">
      <sharedItems/>
    </cacheField>
    <cacheField name="Prospect Creation date" numFmtId="14">
      <sharedItems containsSemiMixedTypes="0" containsNonDate="0" containsDate="1" containsString="0" minDate="2023-10-25T00:00:00" maxDate="2023-11-15T00:00:00"/>
    </cacheField>
    <cacheField name="Prospect Quant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2">
  <r>
    <s v="Z002"/>
    <s v="SZ1"/>
    <s v="R010"/>
    <s v="CHENNAI"/>
    <s v="AO06"/>
    <s v="CHENNAI"/>
    <s v="S757"/>
    <x v="0"/>
    <s v="5520"/>
    <x v="0"/>
    <x v="0"/>
    <s v="NANTHAKUMAR LOGANATHAN"/>
    <s v="D67755201017"/>
    <s v="0009072850"/>
    <d v="2023-11-01T00:00:00"/>
    <s v="0006366444"/>
    <x v="0"/>
    <s v="C K DHAVASI TRADERS"/>
    <s v="0012124534"/>
    <s v="8428341234"/>
    <s v="NO :- 3/22K POONNAGAR, JAFFARABAD, VANIYAMBADI, TIRUPATTUR TIRUPATTUR 635751"/>
    <s v="S1"/>
    <s v="PA1215/45 H CC"/>
    <x v="0"/>
    <s v="12T"/>
    <s v="VANIYAMPADI"/>
    <s v="MARKET LOAD"/>
    <s v="CDB121520C0002"/>
    <s v=""/>
    <x v="0"/>
    <s v="0002235944"/>
    <d v="2023-09-15T00:00:00"/>
    <s v="1"/>
    <s v="0000944703"/>
    <d v="2023-11-01T00:00:00"/>
    <s v="1"/>
  </r>
  <r>
    <s v="Z002"/>
    <s v="SZ1"/>
    <s v="R010"/>
    <s v="CHENNAI"/>
    <s v="AO06"/>
    <s v="CHENNAI"/>
    <s v="S757"/>
    <x v="0"/>
    <s v="5516"/>
    <x v="1"/>
    <x v="1"/>
    <s v="S THANIGAIVELAN"/>
    <s v="D67755161005"/>
    <s v="0009056075"/>
    <d v="2023-11-01T00:00:00"/>
    <s v="0006364845"/>
    <x v="0"/>
    <s v="DHANUSU"/>
    <s v="0012429640"/>
    <s v="9655292555"/>
    <s v="S/o.Arumugam,No.24,Mariyamman Koil Street,Thalavanur Village Villupuram 605103"/>
    <s v="S1"/>
    <s v="NR4825/66 T TIP"/>
    <x v="1"/>
    <s v="10X4 TIPPER"/>
    <s v="PONDICHERY"/>
    <s v="BLUE METAL"/>
    <s v="CTN482529B0009"/>
    <s v=""/>
    <x v="0"/>
    <s v="0002294327"/>
    <d v="2023-10-31T00:00:00"/>
    <s v="12"/>
    <s v="0000944619"/>
    <d v="2023-11-01T00:00:00"/>
    <s v="2"/>
  </r>
  <r>
    <s v="Z002"/>
    <s v="SZ1"/>
    <s v="R010"/>
    <s v="CHENNAI"/>
    <s v="AO06"/>
    <s v="CHENNAI"/>
    <s v="S757"/>
    <x v="0"/>
    <s v="5522"/>
    <x v="2"/>
    <x v="1"/>
    <s v="SEENUVASAN B"/>
    <s v="D67755221011"/>
    <s v="0009060368"/>
    <d v="2023-11-01T00:00:00"/>
    <s v="0006366473"/>
    <x v="0"/>
    <s v="A RAMESH"/>
    <s v="0012559710"/>
    <s v="8825876029"/>
    <s v="S/o:Arunachalam,No:169,Vinayagar Kovil Street,Eraiyur, Villupuram 604304"/>
    <s v="S1"/>
    <s v="UE2825/39 T TIP"/>
    <x v="1"/>
    <s v="6X4 TIPPER"/>
    <s v="VILLUPURAM"/>
    <s v="BLUE METAL"/>
    <s v="CTU282516B0002"/>
    <s v=""/>
    <x v="0"/>
    <s v="0002294387"/>
    <d v="2023-10-31T00:00:00"/>
    <s v="1"/>
    <s v="0000944620"/>
    <d v="2023-11-01T00:00:00"/>
    <s v="1"/>
  </r>
  <r>
    <s v="Z002"/>
    <s v="SZ1"/>
    <s v="R010"/>
    <s v="CHENNAI"/>
    <s v="AO06"/>
    <s v="CHENNAI"/>
    <s v="S757"/>
    <x v="0"/>
    <s v="5522"/>
    <x v="2"/>
    <x v="1"/>
    <s v="VALLARASU A"/>
    <s v="D67755221016"/>
    <s v="0009076201"/>
    <d v="2023-11-01T00:00:00"/>
    <s v="0006366556"/>
    <x v="0"/>
    <s v="A RAMESH"/>
    <s v="0012559710"/>
    <s v="8825876029"/>
    <s v="S/o:Arunachalam,No:169,Vinayagar Kovil Street,Eraiyur, Villupuram 604304"/>
    <s v="S1"/>
    <s v="UE2825/39 T TIP"/>
    <x v="1"/>
    <s v="6X4 TIPPER"/>
    <s v="TINDIVANAM"/>
    <s v="BLUE METAL"/>
    <s v="CTU282516B0002"/>
    <s v=""/>
    <x v="0"/>
    <s v="0002298277"/>
    <d v="2023-11-01T00:00:00"/>
    <s v="1"/>
    <s v="0000944796"/>
    <d v="2023-11-01T00:00:00"/>
    <s v="1"/>
  </r>
  <r>
    <s v="Z002"/>
    <s v="SZ1"/>
    <s v="R010"/>
    <s v="CHENNAI"/>
    <s v="AO06"/>
    <s v="CHENNAI"/>
    <s v="S757"/>
    <x v="0"/>
    <s v="5510"/>
    <x v="3"/>
    <x v="2"/>
    <s v="KARTHIKEYAN K"/>
    <s v="D67755101004"/>
    <s v="0009056058"/>
    <d v="2023-11-01T00:00:00"/>
    <s v="0006361880"/>
    <x v="0"/>
    <s v="THOMAS IYADURAI INFRASTRUCTURE PRIVATE LIMITED"/>
    <s v="0012553744"/>
    <s v="7401008888"/>
    <s v="1/2, M.D.SAMY NAGAR 1st STREET, ARUL NAGAR, MADHAVARAM MILK Chennai 600051"/>
    <s v="S1"/>
    <s v="UE2825/39 T TIP"/>
    <x v="1"/>
    <s v="6X4 TIPPER"/>
    <s v="MADHAVARAM"/>
    <s v="BLUE METAL"/>
    <s v="CTU282516B0004"/>
    <s v=""/>
    <x v="0"/>
    <s v="0002298248"/>
    <d v="2023-11-01T00:00:00"/>
    <s v="1"/>
    <s v="0000944792"/>
    <d v="2023-11-01T00:00:00"/>
    <s v="1"/>
  </r>
  <r>
    <s v="Z002"/>
    <s v="SZ1"/>
    <s v="R010"/>
    <s v="CHENNAI"/>
    <s v="AO06"/>
    <s v="CHENNAI"/>
    <s v="S757"/>
    <x v="0"/>
    <s v="5510"/>
    <x v="3"/>
    <x v="2"/>
    <s v="UDAYAKUMAR K"/>
    <s v="D67755101002"/>
    <s v="0009056056"/>
    <d v="2023-11-03T00:00:00"/>
    <s v="0006343915"/>
    <x v="0"/>
    <s v="N.KRISHNAN"/>
    <s v="0010757355"/>
    <s v="9444137879"/>
    <s v="PERIYAVEDU TADA MANDALAM ANDHRA PRADESH NELLORE 524401"/>
    <s v="S2"/>
    <s v="GP4825/66 H CO"/>
    <x v="2"/>
    <s v="10X2 MAV"/>
    <s v="PARRYS"/>
    <s v="MARKET LOAD"/>
    <s v="CHC482530C0002"/>
    <s v="MB1NECHD9PREN8167"/>
    <x v="0"/>
    <s v="0002242207"/>
    <d v="2023-09-20T00:00:00"/>
    <s v="1"/>
    <s v="0000939965"/>
    <d v="2023-10-27T00:00:00"/>
    <s v="1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3T00:00:00"/>
    <s v="0006375404"/>
    <x v="1"/>
    <s v="SRI BALAJI TRADERS"/>
    <s v="0012172232"/>
    <s v="9865051535"/>
    <s v="2/239, , MAIN ROAD KOLUMAM POST, UDUMALPET 642204"/>
    <s v="S3"/>
    <s v="CA1615/39 H FBL"/>
    <x v="0"/>
    <s v="15T"/>
    <s v="MADURAVOYAL"/>
    <s v="MARKET LOAD"/>
    <s v="CDE161517F0002"/>
    <s v="MB1A3GCD2PREN6425"/>
    <x v="0"/>
    <s v="0002299280"/>
    <d v="2023-11-02T00:00:00"/>
    <s v="1"/>
    <s v="0000944798"/>
    <d v="2023-11-03T00:00:00"/>
    <s v="1"/>
  </r>
  <r>
    <s v="Z002"/>
    <s v="SZ1"/>
    <s v="R010"/>
    <s v="CHENNAI"/>
    <s v="AO06"/>
    <s v="CHENNAI"/>
    <s v="S757"/>
    <x v="0"/>
    <s v="5518"/>
    <x v="5"/>
    <x v="4"/>
    <s v="YOUGESH KANNAN G"/>
    <s v="D67755181003"/>
    <s v="0009056077"/>
    <d v="2023-11-03T00:00:00"/>
    <s v="0006365864"/>
    <x v="0"/>
    <s v="VKV TRAVELS"/>
    <s v="0012321661"/>
    <s v="9597444222"/>
    <s v="PROP OF: SUBRAMANIAN MEENAL_x000a_   SFNO.300A/2,,Alamathi Cattle Chennai 600052"/>
    <s v="S3"/>
    <s v="TF2513.5F6R"/>
    <x v="3"/>
    <s v="MCV BUS"/>
    <s v="THIRUVALLUR"/>
    <s v="LONG DISTANCE (INTERCITY)"/>
    <s v="CCN25135D00011"/>
    <s v="MB1PVELD9PEEL9427"/>
    <x v="0"/>
    <s v="0002298169"/>
    <d v="2023-11-01T00:00:00"/>
    <s v="4"/>
    <s v="0000944782"/>
    <d v="2023-11-01T00:00:00"/>
    <s v="4"/>
  </r>
  <r>
    <s v="Z002"/>
    <s v="SZ1"/>
    <s v="R010"/>
    <s v="CHENNAI"/>
    <s v="AO06"/>
    <s v="CHENNAI"/>
    <s v="S757"/>
    <x v="0"/>
    <s v="5518"/>
    <x v="5"/>
    <x v="4"/>
    <s v="YOUGESH KANNAN G"/>
    <s v="D67755181003"/>
    <s v="0009056077"/>
    <d v="2023-11-03T00:00:00"/>
    <s v="0006365864"/>
    <x v="1"/>
    <s v="VKV TRAVELS"/>
    <s v="0012321661"/>
    <s v="9597444222"/>
    <s v="PROP OF: SUBRAMANIAN MEENAL_x000a_   SFNO.300A/2,,Alamathi Cattle Chennai 600052"/>
    <s v="S3"/>
    <s v="TF2513.5F6R"/>
    <x v="3"/>
    <s v="MCV BUS"/>
    <s v="THIRUVALLUR"/>
    <s v="LONG DISTANCE (INTERCITY)"/>
    <s v="CCN25135D00011"/>
    <s v="MB1PVELD9PEEL9427"/>
    <x v="0"/>
    <s v="0002298169"/>
    <d v="2023-11-01T00:00:00"/>
    <s v="4"/>
    <s v="0000944782"/>
    <d v="2023-11-01T00:00:00"/>
    <s v="4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3T00:00:00"/>
    <s v="0006375404"/>
    <x v="0"/>
    <s v="SRI BALAJI TRADERS"/>
    <s v="0012172232"/>
    <s v="9865051535"/>
    <s v="2/239, , MAIN ROAD KOLUMAM POST, UDUMALPET 642204"/>
    <s v="S3"/>
    <s v="CA1615/39 H FBL"/>
    <x v="0"/>
    <s v="15T"/>
    <s v="MADURAVOYAL"/>
    <s v="MARKET LOAD"/>
    <s v="CDE161517F0002"/>
    <s v="MB1A3GCD2PREN6425"/>
    <x v="0"/>
    <s v="0002299280"/>
    <d v="2023-11-02T00:00:00"/>
    <s v="1"/>
    <s v="0000944798"/>
    <d v="2023-11-03T00:00:00"/>
    <s v="1"/>
  </r>
  <r>
    <s v="Z002"/>
    <s v="SZ1"/>
    <s v="R010"/>
    <s v="CHENNAI"/>
    <s v="AO06"/>
    <s v="CHENNAI"/>
    <s v="S757"/>
    <x v="0"/>
    <s v="5520"/>
    <x v="0"/>
    <x v="5"/>
    <s v="BASKAR S"/>
    <s v="D67755201005"/>
    <s v="0009056081"/>
    <d v="2023-11-03T00:00:00"/>
    <s v="0006375448"/>
    <x v="0"/>
    <s v="ARIVANANDAM N"/>
    <s v="0012554238"/>
    <s v="9442996756"/>
    <s v="THIMMANOOR VALLIPATTU VANIYAMBADI 635752"/>
    <s v="S2"/>
    <s v="GF3520/63 H CO"/>
    <x v="2"/>
    <s v="8X2 MAV"/>
    <s v="VANIYAMPADI"/>
    <s v="MARKET LOAD"/>
    <s v="CHC352026C0016"/>
    <s v="MB1KJCHD3PRFM8557"/>
    <x v="0"/>
    <s v="0002290225"/>
    <d v="2023-10-28T00:00:00"/>
    <s v="1"/>
    <s v="0000944787"/>
    <d v="2023-11-03T00:00:00"/>
    <s v="1"/>
  </r>
  <r>
    <s v="Z002"/>
    <s v="SZ1"/>
    <s v="R010"/>
    <s v="CHENNAI"/>
    <s v="AO06"/>
    <s v="CHENNAI"/>
    <s v="S757"/>
    <x v="0"/>
    <s v="5520"/>
    <x v="0"/>
    <x v="5"/>
    <s v="AKASH MUNUSAMY"/>
    <s v="D67755201016"/>
    <s v="0009070623"/>
    <d v="2023-11-04T00:00:00"/>
    <s v="0006379434"/>
    <x v="1"/>
    <s v="KRISHNAN ELANGO"/>
    <s v="0012187743"/>
    <s v="9487545704"/>
    <s v="NO.130/2,MBT ROAD,CHENNASAMUDRAM VILLAGE,THENKADAPPANTHANGAL RANIPET 632513"/>
    <s v="S3"/>
    <s v="NR4825/66 T TIP"/>
    <x v="1"/>
    <s v="10X4 TIPPER"/>
    <s v="RANIPET"/>
    <s v="BLUE METAL"/>
    <s v="CTN482529B0009"/>
    <s v="MB1XEVHD9PRFM6902"/>
    <x v="0"/>
    <s v="0002300034"/>
    <d v="2023-11-03T00:00:00"/>
    <s v="2"/>
    <s v="0000944914"/>
    <d v="2023-11-03T00:00:00"/>
    <s v="2"/>
  </r>
  <r>
    <s v="Z002"/>
    <s v="SZ1"/>
    <s v="R010"/>
    <s v="CHENNAI"/>
    <s v="AO06"/>
    <s v="CHENNAI"/>
    <s v="S757"/>
    <x v="0"/>
    <s v="5520"/>
    <x v="0"/>
    <x v="5"/>
    <s v="AKASH MUNUSAMY"/>
    <s v="D67755201016"/>
    <s v="0009070623"/>
    <d v="2023-11-04T00:00:00"/>
    <s v="0006381821"/>
    <x v="0"/>
    <s v="KRISHNAN ELANGO"/>
    <s v="0012187743"/>
    <s v="9487545704"/>
    <s v="NO.130/2,MBT ROAD,CHENNASAMUDRAM VILLAGE,THENKADAPPANTHANGAL RANIPET 632513"/>
    <s v="S3"/>
    <s v="NR4825/66 T TIP"/>
    <x v="1"/>
    <s v="10X4 TIPPER"/>
    <s v="RANIPET"/>
    <s v="BLUE METAL"/>
    <s v="CTN482529B0009"/>
    <s v="MB1XEVHD2PRFM6904"/>
    <x v="0"/>
    <s v="0002300034"/>
    <d v="2023-11-03T00:00:00"/>
    <s v="2"/>
    <s v="0000944914"/>
    <d v="2023-11-03T00:00:00"/>
    <s v="2"/>
  </r>
  <r>
    <s v="Z002"/>
    <s v="SZ1"/>
    <s v="R010"/>
    <s v="CHENNAI"/>
    <s v="AO06"/>
    <s v="CHENNAI"/>
    <s v="S757"/>
    <x v="0"/>
    <s v="5520"/>
    <x v="0"/>
    <x v="5"/>
    <s v="AKASH MUNUSAMY"/>
    <s v="D67755201016"/>
    <s v="0009070623"/>
    <d v="2023-11-04T00:00:00"/>
    <s v="0006381821"/>
    <x v="1"/>
    <s v="KRISHNAN ELANGO"/>
    <s v="0012187743"/>
    <s v="9487545704"/>
    <s v="NO.130/2,MBT ROAD,CHENNASAMUDRAM VILLAGE,THENKADAPPANTHANGAL RANIPET 632513"/>
    <s v="S3"/>
    <s v="NR4825/66 T TIP"/>
    <x v="1"/>
    <s v="10X4 TIPPER"/>
    <s v="RANIPET"/>
    <s v="BLUE METAL"/>
    <s v="CTN482529B0009"/>
    <s v="MB1XEVHD2PRFM6904"/>
    <x v="0"/>
    <s v="0002300034"/>
    <d v="2023-11-03T00:00:00"/>
    <s v="2"/>
    <s v="0000944914"/>
    <d v="2023-11-03T00:00:00"/>
    <s v="2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4T00:00:00"/>
    <s v="0006381726"/>
    <x v="1"/>
    <s v="PREMDOSS"/>
    <s v="0012558543"/>
    <s v="9786432556"/>
    <s v="NO 65 THANGARAJ STREET DEVADOSS NAGAR POONAMALLEE Chennai 600056"/>
    <s v="S3"/>
    <s v="PA1215/45 H FBL"/>
    <x v="0"/>
    <s v="12T"/>
    <s v="MADURAVOYAL"/>
    <s v="MARKET LOAD"/>
    <s v="CDB121520H0003"/>
    <s v="MB1AUPCC1PEEL7974"/>
    <x v="0"/>
    <s v="0002301093"/>
    <d v="2023-11-04T00:00:00"/>
    <s v="2"/>
    <s v="0000944835"/>
    <d v="2023-11-04T00:00:00"/>
    <s v="2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4T00:00:00"/>
    <s v="0006382301"/>
    <x v="1"/>
    <s v="PREMDOSS"/>
    <s v="0012558543"/>
    <s v="9786432556"/>
    <s v="NO 65 THANGARAJ STREET DEVADOSS NAGAR POONAMALLEE Chennai 600056"/>
    <s v="S3"/>
    <s v="PA1215/45 H FBL"/>
    <x v="0"/>
    <s v="12T"/>
    <s v="MADURAVOYAL"/>
    <s v="MARKET LOAD"/>
    <s v="CDB121520H0003"/>
    <s v="MB1AUPCC8PEEL7888"/>
    <x v="0"/>
    <s v="0002301093"/>
    <d v="2023-11-04T00:00:00"/>
    <s v="2"/>
    <s v="0000944835"/>
    <d v="2023-11-04T00:00:00"/>
    <s v="2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4T00:00:00"/>
    <s v="0006381726"/>
    <x v="0"/>
    <s v="PREMDOSS"/>
    <s v="0012558543"/>
    <s v="9786432556"/>
    <s v="NO 65 THANGARAJ STREET DEVADOSS NAGAR POONAMALLEE Chennai 600056"/>
    <s v="S3"/>
    <s v="PA1215/45 H FBL"/>
    <x v="0"/>
    <s v="12T"/>
    <s v="MADURAVOYAL"/>
    <s v="MARKET LOAD"/>
    <s v="CDB121520H0003"/>
    <s v="MB1AUPCC1PEEL7974"/>
    <x v="0"/>
    <s v="0002301093"/>
    <d v="2023-11-04T00:00:00"/>
    <s v="2"/>
    <s v="0000944835"/>
    <d v="2023-11-04T00:00:00"/>
    <s v="2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4T00:00:00"/>
    <s v="0006382301"/>
    <x v="0"/>
    <s v="PREMDOSS"/>
    <s v="0012558543"/>
    <s v="9786432556"/>
    <s v="NO 65 THANGARAJ STREET DEVADOSS NAGAR POONAMALLEE Chennai 600056"/>
    <s v="S3"/>
    <s v="PA1215/45 H FBL"/>
    <x v="0"/>
    <s v="12T"/>
    <s v="MADURAVOYAL"/>
    <s v="MARKET LOAD"/>
    <s v="CDB121520H0003"/>
    <s v="MB1AUPCC8PEEL7888"/>
    <x v="0"/>
    <s v="0002301093"/>
    <d v="2023-11-04T00:00:00"/>
    <s v="2"/>
    <s v="0000944835"/>
    <d v="2023-11-04T00:00:00"/>
    <s v="2"/>
  </r>
  <r>
    <s v="Z002"/>
    <s v="SZ1"/>
    <s v="R010"/>
    <s v="CHENNAI"/>
    <s v="AO06"/>
    <s v="CHENNAI"/>
    <s v="S757"/>
    <x v="0"/>
    <s v="5518"/>
    <x v="5"/>
    <x v="4"/>
    <s v="PRABAKARAN A"/>
    <s v="D67755181031"/>
    <s v="0009076979"/>
    <d v="2023-11-04T00:00:00"/>
    <s v="0006381308"/>
    <x v="0"/>
    <s v="T RENGARAJU AND CO BUILDERS"/>
    <s v="0012565589"/>
    <s v="9551853681"/>
    <s v="poonamallee poonamallee 600056"/>
    <s v="S3"/>
    <s v="MJ3520/52 T TIP"/>
    <x v="1"/>
    <s v="8X4 TIPPER"/>
    <s v="THIRUVALLUR"/>
    <s v="BLUE METAL"/>
    <s v="CTG352018B0007"/>
    <s v="MB1JJDHD8MPJM9892"/>
    <x v="0"/>
    <s v="0002301096"/>
    <d v="2023-11-04T00:00:00"/>
    <s v="1"/>
    <s v="0000945103"/>
    <d v="2023-11-04T00:00:00"/>
    <s v="1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04T00:00:00"/>
    <s v="0006382501"/>
    <x v="0"/>
    <s v="D ROSSIAH"/>
    <s v="0012565588"/>
    <s v="9840082213"/>
    <s v="45,MKN ROAD CHENNAI 600032"/>
    <s v="S3"/>
    <s v="NE2825N/39 T CC"/>
    <x v="1"/>
    <s v="6X4 TIPPER"/>
    <s v="GUINDY"/>
    <s v="BLUE METAL"/>
    <s v="CTN282516C0001"/>
    <s v="MB1D3VLD3NPMN3802"/>
    <x v="0"/>
    <s v="0002301095"/>
    <d v="2023-11-04T00:00:00"/>
    <s v="1"/>
    <s v="0000945104"/>
    <d v="2023-11-04T00:00:00"/>
    <s v="1"/>
  </r>
  <r>
    <s v="Z002"/>
    <s v="SZ1"/>
    <s v="R010"/>
    <s v="CHENNAI"/>
    <s v="AO06"/>
    <s v="CHENNAI"/>
    <s v="S757"/>
    <x v="0"/>
    <s v="5520"/>
    <x v="0"/>
    <x v="5"/>
    <s v="BASKAR S"/>
    <s v="D67755201005"/>
    <s v="0009056081"/>
    <d v="2023-11-04T00:00:00"/>
    <s v="0006375448"/>
    <x v="1"/>
    <s v="ARIVANANDAM N"/>
    <s v="0012554238"/>
    <s v="9442996756"/>
    <s v="THIMMANOOR VALLIPATTU VANIYAMBADI 635752"/>
    <s v="S2"/>
    <s v="GF3520/63 H CO"/>
    <x v="2"/>
    <s v="8X2 MAV"/>
    <s v="VANIYAMPADI"/>
    <s v="MARKET LOAD"/>
    <s v="CHC352026C0016"/>
    <s v="MB1KJCHD3PRFM8557"/>
    <x v="0"/>
    <s v="0002290225"/>
    <d v="2023-10-28T00:00:00"/>
    <s v="1"/>
    <s v="0000944787"/>
    <d v="2023-11-03T00:00:00"/>
    <s v="1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4T00:00:00"/>
    <s v="1000191091"/>
    <x v="2"/>
    <s v="PREMDOSS"/>
    <s v="0012558543"/>
    <s v="9786432556"/>
    <s v="NO 65 THANGARAJ STREET DEVADOSS NAGAR POONAMALLEE Chennai 600056"/>
    <s v="S3"/>
    <s v="PA1215/45 H FBL"/>
    <x v="0"/>
    <s v="12T"/>
    <s v="MADURAVOYAL"/>
    <s v="MARKET LOAD"/>
    <s v="CDB121520H0003"/>
    <s v="MB1AUPCC8PEEL7888"/>
    <x v="1"/>
    <s v="0002293414"/>
    <d v="2023-10-30T00:00:00"/>
    <s v="2"/>
    <s v="0000942055"/>
    <d v="2023-10-30T00:00:00"/>
    <s v="2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4T00:00:00"/>
    <s v="1000197246"/>
    <x v="2"/>
    <s v="PREMDOSS"/>
    <s v="0012558543"/>
    <s v="9786432556"/>
    <s v="NO 65 THANGARAJ STREET DEVADOSS NAGAR POONAMALLEE Chennai 600056"/>
    <s v="S3"/>
    <s v="PA1215/45 H FBL"/>
    <x v="0"/>
    <s v="12T"/>
    <s v="MADURAVOYAL"/>
    <s v="MARKET LOAD"/>
    <s v="CDB121520H0003"/>
    <s v="MB1AUPCC1PEEL7974"/>
    <x v="1"/>
    <s v="0002293414"/>
    <d v="2023-10-30T00:00:00"/>
    <s v="2"/>
    <s v="0000942055"/>
    <d v="2023-10-30T00:00:00"/>
    <s v="2"/>
  </r>
  <r>
    <s v="Z002"/>
    <s v="SZ1"/>
    <s v="R010"/>
    <s v="CHENNAI"/>
    <s v="AO06"/>
    <s v="CHENNAI"/>
    <s v="S757"/>
    <x v="0"/>
    <s v="5510"/>
    <x v="3"/>
    <x v="2"/>
    <s v="UDAYAKUMAR K"/>
    <s v="D67755101002"/>
    <s v="0009056056"/>
    <d v="2023-11-04T00:00:00"/>
    <s v="0006343915"/>
    <x v="1"/>
    <s v="N.KRISHNAN"/>
    <s v="0010757355"/>
    <s v="9444137879"/>
    <s v="PERIYAVEDU TADA MANDALAM ANDHRA PRADESH NELLORE 524401"/>
    <s v="S2"/>
    <s v="GP4825/66 H CO"/>
    <x v="2"/>
    <s v="10X2 MAV"/>
    <s v="PARRYS"/>
    <s v="MARKET LOAD"/>
    <s v="CHC482530C0002"/>
    <s v="MB1NECHD9PREN8167"/>
    <x v="0"/>
    <s v="0002242207"/>
    <d v="2023-09-20T00:00:00"/>
    <s v="1"/>
    <s v="0000939965"/>
    <d v="2023-10-27T00:00:00"/>
    <s v="1"/>
  </r>
  <r>
    <s v="Z002"/>
    <s v="SZ1"/>
    <s v="R010"/>
    <s v="CHENNAI"/>
    <s v="AO06"/>
    <s v="CHENNAI"/>
    <s v="S757"/>
    <x v="0"/>
    <s v="5520"/>
    <x v="0"/>
    <x v="5"/>
    <s v="AKASH MUNUSAMY"/>
    <s v="D67755201016"/>
    <s v="0009070623"/>
    <d v="2023-11-04T00:00:00"/>
    <s v="0006379434"/>
    <x v="0"/>
    <s v="KRISHNAN ELANGO"/>
    <s v="0012187743"/>
    <s v="9487545704"/>
    <s v="NO.130/2,MBT ROAD,CHENNASAMUDRAM VILLAGE,THENKADAPPANTHANGAL RANIPET 632513"/>
    <s v="S3"/>
    <s v="NR4825/66 T TIP"/>
    <x v="1"/>
    <s v="10X4 TIPPER"/>
    <s v="RANIPET"/>
    <s v="BLUE METAL"/>
    <s v="CTN482529B0009"/>
    <s v="MB1XEVHD9PRFM6902"/>
    <x v="0"/>
    <s v="0002300034"/>
    <d v="2023-11-03T00:00:00"/>
    <s v="2"/>
    <s v="0000944914"/>
    <d v="2023-11-03T00:00:00"/>
    <s v="2"/>
  </r>
  <r>
    <s v="Z002"/>
    <s v="SZ1"/>
    <s v="R010"/>
    <s v="CHENNAI"/>
    <s v="AO06"/>
    <s v="CHENNAI"/>
    <s v="S757"/>
    <x v="0"/>
    <s v="5520"/>
    <x v="0"/>
    <x v="5"/>
    <s v="AKASH MUNUSAMY"/>
    <s v="D67755201016"/>
    <s v="0009070623"/>
    <d v="2023-11-04T00:00:00"/>
    <s v="0006379175"/>
    <x v="0"/>
    <s v="V RAJASEKHAR REDDY"/>
    <s v="0002207525"/>
    <s v="9440909084"/>
    <s v="JAYANAGAR COLONY,TADIPATRINATadpa Tadpatri Bazar 515411"/>
    <s v="S3"/>
    <s v="GP4825/66 H CO"/>
    <x v="2"/>
    <s v="10X2 MAV"/>
    <s v="VELLORE LOCAL"/>
    <s v="MARKET LOAD"/>
    <s v="CHC482530C0002"/>
    <s v="MB1NECHD2PRFM6445"/>
    <x v="0"/>
    <s v="0002298221"/>
    <d v="2023-11-01T00:00:00"/>
    <s v="1"/>
    <s v="0000944656"/>
    <d v="2023-11-03T00:00:00"/>
    <s v="1"/>
  </r>
  <r>
    <s v="Z002"/>
    <s v="SZ1"/>
    <s v="R010"/>
    <s v="CHENNAI"/>
    <s v="AO06"/>
    <s v="CHENNAI"/>
    <s v="S757"/>
    <x v="0"/>
    <s v="5520"/>
    <x v="0"/>
    <x v="5"/>
    <s v="AKASH MUNUSAMY"/>
    <s v="D67755201016"/>
    <s v="0009070623"/>
    <d v="2023-11-04T00:00:00"/>
    <s v="0006379175"/>
    <x v="1"/>
    <s v="V RAJASEKHAR REDDY"/>
    <s v="0002207525"/>
    <s v="9440909084"/>
    <s v="JAYANAGAR COLONY,TADIPATRINATadpa Tadpatri Bazar 515411"/>
    <s v="S3"/>
    <s v="GP4825/66 H CO"/>
    <x v="2"/>
    <s v="10X2 MAV"/>
    <s v="VELLORE LOCAL"/>
    <s v="MARKET LOAD"/>
    <s v="CHC482530C0002"/>
    <s v="MB1NECHD2PRFM6445"/>
    <x v="0"/>
    <s v="0002298221"/>
    <d v="2023-11-01T00:00:00"/>
    <s v="1"/>
    <s v="0000944656"/>
    <d v="2023-11-03T00:00:00"/>
    <s v="1"/>
  </r>
  <r>
    <s v="Z002"/>
    <s v="SZ1"/>
    <s v="R010"/>
    <s v="CHENNAI"/>
    <s v="AO06"/>
    <s v="CHENNAI"/>
    <s v="S757"/>
    <x v="0"/>
    <s v="5510"/>
    <x v="3"/>
    <x v="2"/>
    <s v="KARTHIKEYAN K"/>
    <s v="D67755101004"/>
    <s v="0009056058"/>
    <d v="2023-11-04T00:00:00"/>
    <s v="0006364690"/>
    <x v="0"/>
    <s v="THOMAS IYADURAI INFRASTRUCTURE PRIVATE LIMITED"/>
    <s v="0012553744"/>
    <s v="7401008888"/>
    <s v="1/2, M.D.SAMY NAGAR 1st STREET, ARUL NAGAR, MADHAVARAM MILK Chennai 600051"/>
    <s v="S3"/>
    <s v="UE2825/39 T TIP"/>
    <x v="1"/>
    <s v="6X4 TIPPER"/>
    <s v="MADHAVARAM"/>
    <s v="BLUE METAL"/>
    <s v="CTU282516B0004"/>
    <s v="MB1H3LHD4PREN6670"/>
    <x v="0"/>
    <s v="0002298390"/>
    <d v="2023-11-01T00:00:00"/>
    <s v="1"/>
    <s v="0000944224"/>
    <d v="2023-11-01T00:00:00"/>
    <s v="1"/>
  </r>
  <r>
    <s v="Z002"/>
    <s v="SZ1"/>
    <s v="R010"/>
    <s v="CHENNAI"/>
    <s v="AO06"/>
    <s v="CHENNAI"/>
    <s v="S757"/>
    <x v="0"/>
    <s v="5510"/>
    <x v="3"/>
    <x v="2"/>
    <s v="KARTHIKEYAN K"/>
    <s v="D67755101004"/>
    <s v="0009056058"/>
    <d v="2023-11-04T00:00:00"/>
    <s v="0006364690"/>
    <x v="1"/>
    <s v="THOMAS IYADURAI INFRASTRUCTURE PRIVATE LIMITED"/>
    <s v="0012553744"/>
    <s v="7401008888"/>
    <s v="1/2, M.D.SAMY NAGAR 1st STREET, ARUL NAGAR, MADHAVARAM MILK Chennai 600051"/>
    <s v="S3"/>
    <s v="UE2825/39 T TIP"/>
    <x v="1"/>
    <s v="6X4 TIPPER"/>
    <s v="MADHAVARAM"/>
    <s v="BLUE METAL"/>
    <s v="CTU282516B0004"/>
    <s v="MB1H3LHD4PREN6670"/>
    <x v="0"/>
    <s v="0002298390"/>
    <d v="2023-11-01T00:00:00"/>
    <s v="1"/>
    <s v="0000944224"/>
    <d v="2023-11-01T00:00:00"/>
    <s v="1"/>
  </r>
  <r>
    <s v="Z002"/>
    <s v="SZ1"/>
    <s v="R010"/>
    <s v="CHENNAI"/>
    <s v="AO06"/>
    <s v="CHENNAI"/>
    <s v="S757"/>
    <x v="0"/>
    <s v="5512"/>
    <x v="4"/>
    <x v="6"/>
    <s v="HARI SHANKAR V"/>
    <s v="D67755121032"/>
    <s v="0009077357"/>
    <d v="2023-11-06T00:00:00"/>
    <s v="0006386884"/>
    <x v="0"/>
    <s v="PALANI R"/>
    <s v="0011543008"/>
    <s v="7299808690"/>
    <s v="4/57, RANNI ANNA NAGAR, TIRUSULAM, KANCHEEPURAM-600043 Chennai 600043"/>
    <s v="S3"/>
    <s v="CA1215/28 T TIP"/>
    <x v="0"/>
    <s v="12T"/>
    <s v="TAMBARAM"/>
    <s v="OTHER CONSTRUCTION MATERIAL"/>
    <s v="CDE131506T0004"/>
    <s v="MB1GWGCDXPRDP2824"/>
    <x v="0"/>
    <s v="0002298969"/>
    <d v="2023-11-02T00:00:00"/>
    <s v="1"/>
    <s v="0000944378"/>
    <d v="2023-11-02T00:00:00"/>
    <s v="1"/>
  </r>
  <r>
    <s v="Z002"/>
    <s v="SZ1"/>
    <s v="R010"/>
    <s v="CHENNAI"/>
    <s v="AO06"/>
    <s v="CHENNAI"/>
    <s v="S757"/>
    <x v="0"/>
    <s v="5512"/>
    <x v="4"/>
    <x v="6"/>
    <s v="HARI SHANKAR V"/>
    <s v="D67755121032"/>
    <s v="0009077357"/>
    <d v="2023-11-06T00:00:00"/>
    <s v="0006386884"/>
    <x v="1"/>
    <s v="PALANI R"/>
    <s v="0011543008"/>
    <s v="7299808690"/>
    <s v="4/57, RANNI ANNA NAGAR, TIRUSULAM, KANCHEEPURAM-600043 Chennai 600043"/>
    <s v="S3"/>
    <s v="CA1215/28 T TIP"/>
    <x v="0"/>
    <s v="12T"/>
    <s v="TAMBARAM"/>
    <s v="OTHER CONSTRUCTION MATERIAL"/>
    <s v="CDE131506T0004"/>
    <s v="MB1GWGCDXPRDP2824"/>
    <x v="0"/>
    <s v="0002298969"/>
    <d v="2023-11-02T00:00:00"/>
    <s v="1"/>
    <s v="0000944378"/>
    <d v="2023-11-02T00:00:00"/>
    <s v="1"/>
  </r>
  <r>
    <s v="Z002"/>
    <s v="SZ1"/>
    <s v="R010"/>
    <s v="CHENNAI"/>
    <s v="AO06"/>
    <s v="CHENNAI"/>
    <s v="S757"/>
    <x v="0"/>
    <s v="5512"/>
    <x v="4"/>
    <x v="6"/>
    <s v="HARI SHANKAR V"/>
    <s v="D67755121032"/>
    <s v="0009077357"/>
    <d v="2023-11-06T00:00:00"/>
    <s v="0006384464"/>
    <x v="0"/>
    <s v="R DEVARAJAN"/>
    <s v="0011241405"/>
    <s v="9962475091"/>
    <s v="No.95, 1ST, KRISHNA NAGAR, MADIPPAKKAM, Kancheepuram 600091"/>
    <s v="S3"/>
    <s v="CA1215/28 T TIP"/>
    <x v="0"/>
    <s v="12T"/>
    <s v="TAMBARAM"/>
    <s v="BLUE METAL"/>
    <s v="CDE131506T0004_YW"/>
    <s v="MB1GWGCD9PRDP2815"/>
    <x v="0"/>
    <s v="0002298005"/>
    <d v="2023-11-01T00:00:00"/>
    <s v="1"/>
    <s v="0000944475"/>
    <d v="2023-11-01T00:00:00"/>
    <s v="1"/>
  </r>
  <r>
    <s v="Z002"/>
    <s v="SZ1"/>
    <s v="R010"/>
    <s v="CHENNAI"/>
    <s v="AO06"/>
    <s v="CHENNAI"/>
    <s v="S757"/>
    <x v="0"/>
    <s v="5512"/>
    <x v="4"/>
    <x v="6"/>
    <s v="HARI SHANKAR V"/>
    <s v="D67755121032"/>
    <s v="0009077357"/>
    <d v="2023-11-06T00:00:00"/>
    <s v="0006384464"/>
    <x v="1"/>
    <s v="R DEVARAJAN"/>
    <s v="0011241405"/>
    <s v="9962475091"/>
    <s v="No.95, 1ST, KRISHNA NAGAR, MADIPPAKKAM, Kancheepuram 600091"/>
    <s v="S3"/>
    <s v="CA1215/28 T TIP"/>
    <x v="0"/>
    <s v="12T"/>
    <s v="TAMBARAM"/>
    <s v="BLUE METAL"/>
    <s v="CDE131506T0004_YW"/>
    <s v="MB1GWGCD9PRDP2815"/>
    <x v="0"/>
    <s v="0002298005"/>
    <d v="2023-11-01T00:00:00"/>
    <s v="1"/>
    <s v="0000944475"/>
    <d v="2023-11-01T00:00:00"/>
    <s v="1"/>
  </r>
  <r>
    <s v="Z002"/>
    <s v="SZ1"/>
    <s v="R010"/>
    <s v="CHENNAI"/>
    <s v="AO06"/>
    <s v="CHENNAI"/>
    <s v="S757"/>
    <x v="0"/>
    <s v="5514"/>
    <x v="6"/>
    <x v="7"/>
    <s v="T RAMESH BABU"/>
    <s v="D67755141002"/>
    <s v="0009056047"/>
    <d v="2023-11-06T00:00:00"/>
    <s v="0006382749"/>
    <x v="0"/>
    <s v="AMALA ANNAI BLUE METALS"/>
    <s v="0011867682"/>
    <s v="9566042135"/>
    <s v="NO.7, ANNAI MARY 2ND STREET, KAMARAJAPURAM,_x000a_ANAKAPUTHUR kancheepuram 600070"/>
    <s v="S1"/>
    <s v="UJ3525/52 T TIP"/>
    <x v="1"/>
    <s v="8X4 TIPPER"/>
    <s v="CHENGALPET"/>
    <s v="BLUE METAL"/>
    <s v="CTU352523B0003"/>
    <s v=""/>
    <x v="0"/>
    <s v="0002301982"/>
    <d v="2023-10-31T00:00:00"/>
    <s v="1"/>
    <s v="0000944930"/>
    <d v="2023-11-06T00:00:00"/>
    <s v="1"/>
  </r>
  <r>
    <s v="Z002"/>
    <s v="SZ1"/>
    <s v="R010"/>
    <s v="CHENNAI"/>
    <s v="AO06"/>
    <s v="CHENNAI"/>
    <s v="S757"/>
    <x v="0"/>
    <s v="5514"/>
    <x v="6"/>
    <x v="7"/>
    <s v="T RAMESH BABU"/>
    <s v="D67755141002"/>
    <s v="0009056047"/>
    <d v="2023-11-07T00:00:00"/>
    <s v="0006389114"/>
    <x v="0"/>
    <s v="AMALA ANNAI BLUE METALS"/>
    <s v="0011867682"/>
    <s v="9566042135"/>
    <s v="NO.7, ANNAI MARY 2ND STREET, KAMARAJAPURAM,_x000a_ANAKAPUTHUR kancheepuram 600070"/>
    <s v="S3"/>
    <s v="UJ3525/52 T TIP"/>
    <x v="1"/>
    <s v="8X4 TIPPER"/>
    <s v="CHENGALPET"/>
    <s v="BLUE METAL"/>
    <s v="CTU352523B0011"/>
    <s v="MB1JJLHD4PREN5848"/>
    <x v="0"/>
    <s v="0002302123"/>
    <d v="2023-11-06T00:00:00"/>
    <s v="1"/>
    <s v="0000944977"/>
    <d v="2023-11-06T00:00:00"/>
    <s v="1"/>
  </r>
  <r>
    <s v="Z002"/>
    <s v="SZ1"/>
    <s v="R010"/>
    <s v="CHENNAI"/>
    <s v="AO06"/>
    <s v="CHENNAI"/>
    <s v="S757"/>
    <x v="0"/>
    <s v="5514"/>
    <x v="6"/>
    <x v="7"/>
    <s v="T RAMESH BABU"/>
    <s v="D67755141002"/>
    <s v="0009056047"/>
    <d v="2023-11-07T00:00:00"/>
    <s v="0006389114"/>
    <x v="1"/>
    <s v="AMALA ANNAI BLUE METALS"/>
    <s v="0011867682"/>
    <s v="9566042135"/>
    <s v="NO.7, ANNAI MARY 2ND STREET, KAMARAJAPURAM,_x000a_ANAKAPUTHUR kancheepuram 600070"/>
    <s v="S3"/>
    <s v="UJ3525/52 T TIP"/>
    <x v="1"/>
    <s v="8X4 TIPPER"/>
    <s v="CHENGALPET"/>
    <s v="BLUE METAL"/>
    <s v="CTU352523B0011"/>
    <s v="MB1JJLHD4PREN5848"/>
    <x v="0"/>
    <s v="0002302123"/>
    <d v="2023-11-06T00:00:00"/>
    <s v="1"/>
    <s v="0000944977"/>
    <d v="2023-11-06T00:00:00"/>
    <s v="1"/>
  </r>
  <r>
    <s v="Z002"/>
    <s v="SZ1"/>
    <s v="R010"/>
    <s v="CHENNAI"/>
    <s v="AO06"/>
    <s v="CHENNAI"/>
    <s v="S757"/>
    <x v="0"/>
    <s v="5520"/>
    <x v="0"/>
    <x v="0"/>
    <s v="THIRUMALSELVAN V"/>
    <s v="D67755201015"/>
    <s v="0009070571"/>
    <d v="2023-11-07T00:00:00"/>
    <s v="0006389136"/>
    <x v="1"/>
    <s v="N SARAVANAN"/>
    <s v="0012550770"/>
    <s v="9488853831"/>
    <s v="S/O. NATARAJAN, NO. 2/27, ARASAMARA STREET, ONGAPADI VILLAGE VELLORE 632101"/>
    <s v="S3"/>
    <s v="PA1215/45 H CC"/>
    <x v="0"/>
    <s v="12T"/>
    <s v="VELLORE LOCAL"/>
    <s v="MARKET LOAD"/>
    <s v="CDB121520C0002"/>
    <s v="MB1AUPCC1PEGL4255"/>
    <x v="0"/>
    <s v="0002287619"/>
    <d v="2023-10-27T00:00:00"/>
    <s v="1"/>
    <s v="0000945347"/>
    <d v="2023-11-07T00:00:00"/>
    <s v="1"/>
  </r>
  <r>
    <s v="Z002"/>
    <s v="SZ1"/>
    <s v="R010"/>
    <s v="CHENNAI"/>
    <s v="AO06"/>
    <s v="CHENNAI"/>
    <s v="S757"/>
    <x v="0"/>
    <s v="5520"/>
    <x v="0"/>
    <x v="0"/>
    <s v="THIRUMALSELVAN V"/>
    <s v="D67755201015"/>
    <s v="0009070571"/>
    <d v="2023-11-07T00:00:00"/>
    <s v="0006389136"/>
    <x v="0"/>
    <s v="N SARAVANAN"/>
    <s v="0012550770"/>
    <s v="9488853831"/>
    <s v="S/O. NATARAJAN, NO. 2/27, ARASAMARA STREET, ONGAPADI VILLAGE VELLORE 632101"/>
    <s v="S3"/>
    <s v="PA1215/45 H CC"/>
    <x v="0"/>
    <s v="12T"/>
    <s v="VELLORE LOCAL"/>
    <s v="MARKET LOAD"/>
    <s v="CDB121520C0002"/>
    <s v="MB1AUPCC1PEGL4255"/>
    <x v="0"/>
    <s v="0002287619"/>
    <d v="2023-10-27T00:00:00"/>
    <s v="1"/>
    <s v="0000945347"/>
    <d v="2023-11-07T00:00:00"/>
    <s v="1"/>
  </r>
  <r>
    <s v="Z002"/>
    <s v="SZ1"/>
    <s v="R010"/>
    <s v="CHENNAI"/>
    <s v="AO06"/>
    <s v="CHENNAI"/>
    <s v="S757"/>
    <x v="0"/>
    <s v="5522"/>
    <x v="2"/>
    <x v="8"/>
    <s v="THIRUMALAIRAJAN J"/>
    <s v="D67755221015"/>
    <s v="0009076200"/>
    <d v="2023-11-07T00:00:00"/>
    <s v="0006381104"/>
    <x v="0"/>
    <s v="CHANDIRASEKAR"/>
    <s v="0012539175"/>
    <s v="9003642165"/>
    <s v="S/o, Murugaiyan, No.190, Murugan kovil street, Kedar, Villup Vilupuram 605402"/>
    <s v="S3"/>
    <s v="PA1215/45 H CC"/>
    <x v="0"/>
    <s v="12T"/>
    <s v="VILLUPURAM"/>
    <s v="MARKET LOAD"/>
    <s v="CDB121520C0002"/>
    <s v="MB1AUPCC8PEFL6050"/>
    <x v="0"/>
    <s v="0002277914"/>
    <d v="2023-10-18T00:00:00"/>
    <s v="1"/>
    <s v="0000941938"/>
    <d v="2023-10-31T00:00:00"/>
    <s v="1"/>
  </r>
  <r>
    <s v="Z002"/>
    <s v="SZ1"/>
    <s v="R010"/>
    <s v="CHENNAI"/>
    <s v="AO06"/>
    <s v="CHENNAI"/>
    <s v="S757"/>
    <x v="0"/>
    <s v="5522"/>
    <x v="2"/>
    <x v="8"/>
    <s v="THIRUMALAIRAJAN J"/>
    <s v="D67755221015"/>
    <s v="0009076200"/>
    <d v="2023-11-07T00:00:00"/>
    <s v="0006381104"/>
    <x v="1"/>
    <s v="CHANDIRASEKAR"/>
    <s v="0012539175"/>
    <s v="9003642165"/>
    <s v="S/o, Murugaiyan, No.190, Murugan kovil street, Kedar, Villup Vilupuram 605402"/>
    <s v="S3"/>
    <s v="PA1215/45 H CC"/>
    <x v="0"/>
    <s v="12T"/>
    <s v="VILLUPURAM"/>
    <s v="MARKET LOAD"/>
    <s v="CDB121520C0002"/>
    <s v="MB1AUPCC8PEFL6050"/>
    <x v="0"/>
    <s v="0002277914"/>
    <d v="2023-10-18T00:00:00"/>
    <s v="1"/>
    <s v="0000941938"/>
    <d v="2023-10-31T00:00:00"/>
    <s v="1"/>
  </r>
  <r>
    <s v="Z002"/>
    <s v="SZ1"/>
    <s v="R010"/>
    <s v="CHENNAI"/>
    <s v="AO06"/>
    <s v="CHENNAI"/>
    <s v="S757"/>
    <x v="0"/>
    <s v="5518"/>
    <x v="5"/>
    <x v="4"/>
    <s v="YOUGESH KANNAN G"/>
    <s v="D67755181003"/>
    <s v="0009056077"/>
    <d v="2023-11-08T00:00:00"/>
    <s v="0006396959"/>
    <x v="0"/>
    <s v="NEW TRAVEL LIINES INDIA PRIVATE LIMITED"/>
    <s v="0012425805"/>
    <s v="9586688775"/>
    <s v="PLOT NO-1, RAM NAGAR NORTH,MADIPAKKAM,GANGAI STREET, Kancheepuram 600091"/>
    <s v="S2"/>
    <s v="LS1510.3C6RV"/>
    <x v="4"/>
    <s v="ICV BUS"/>
    <s v="GUINDY"/>
    <s v="STAFF BUS"/>
    <s v="CCL15103G00005"/>
    <s v="MB1PAEDDXPEDM1565"/>
    <x v="0"/>
    <s v="0002304722"/>
    <d v="2023-11-08T00:00:00"/>
    <s v="1"/>
    <s v="0000945577"/>
    <d v="2023-11-08T00:00:00"/>
    <s v="1"/>
  </r>
  <r>
    <s v="Z002"/>
    <s v="SZ1"/>
    <s v="R010"/>
    <s v="CHENNAI"/>
    <s v="AO06"/>
    <s v="CHENNAI"/>
    <s v="S757"/>
    <x v="0"/>
    <s v="5512"/>
    <x v="4"/>
    <x v="3"/>
    <s v="BALAJI G"/>
    <s v="D67755121026"/>
    <s v="0009069193"/>
    <d v="2023-11-08T00:00:00"/>
    <s v="0006391885"/>
    <x v="1"/>
    <s v="SRI VINAYAGAMURUGAN AGENCIES"/>
    <s v="0012344353"/>
    <s v="9751724201"/>
    <s v="Survey No.: 155/9B, Cheyyur-Pavunjur Road, Ammanur Village, Chennai 603311"/>
    <s v="S3"/>
    <s v="CA1915/47 H CC"/>
    <x v="0"/>
    <s v="15T"/>
    <s v="MADURAVOYAL"/>
    <s v="POL"/>
    <s v="CDE1915POC0002_WH"/>
    <s v="MB1A5HCD2PEGL3515"/>
    <x v="0"/>
    <s v="0002286109"/>
    <d v="2023-10-26T00:00:00"/>
    <s v="1"/>
    <s v="0000940109"/>
    <d v="2023-10-28T00:00:00"/>
    <s v="1"/>
  </r>
  <r>
    <s v="Z002"/>
    <s v="SZ1"/>
    <s v="R010"/>
    <s v="CHENNAI"/>
    <s v="AO06"/>
    <s v="CHENNAI"/>
    <s v="S757"/>
    <x v="0"/>
    <s v="5512"/>
    <x v="4"/>
    <x v="3"/>
    <s v="BALAJI G"/>
    <s v="D67755121026"/>
    <s v="0009069193"/>
    <d v="2023-11-08T00:00:00"/>
    <s v="0006391885"/>
    <x v="0"/>
    <s v="SRI VINAYAGAMURUGAN AGENCIES"/>
    <s v="0012344353"/>
    <s v="9751724201"/>
    <s v="Survey No.: 155/9B, Cheyyur-Pavunjur Road, Ammanur Village, Chennai 603311"/>
    <s v="S3"/>
    <s v="CA1915/47 H CC"/>
    <x v="0"/>
    <s v="15T"/>
    <s v="MADURAVOYAL"/>
    <s v="POL"/>
    <s v="CDE1915POC0002_WH"/>
    <s v="MB1A5HCD2PEGL3515"/>
    <x v="0"/>
    <s v="0002286109"/>
    <d v="2023-10-26T00:00:00"/>
    <s v="1"/>
    <s v="0000940109"/>
    <d v="2023-10-28T00:00:00"/>
    <s v="1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8T00:00:00"/>
    <s v="1000199211"/>
    <x v="2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3PREN5834"/>
    <x v="1"/>
    <s v="0002298394"/>
    <d v="2023-11-02T00:00:00"/>
    <s v="5"/>
    <s v="0000940508"/>
    <d v="2023-11-02T00:00:00"/>
    <s v="5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8T00:00:00"/>
    <s v="1000192885"/>
    <x v="2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7PREN5836"/>
    <x v="1"/>
    <s v="0002298394"/>
    <d v="2023-11-02T00:00:00"/>
    <s v="5"/>
    <s v="0000940508"/>
    <d v="2023-11-02T00:00:00"/>
    <s v="5"/>
  </r>
  <r>
    <s v="Z002"/>
    <s v="SZ1"/>
    <s v="R010"/>
    <s v="CHENNAI"/>
    <s v="AO06"/>
    <s v="CHENNAI"/>
    <s v="S757"/>
    <x v="0"/>
    <s v="5518"/>
    <x v="5"/>
    <x v="4"/>
    <s v="YOUGESH KANNAN G"/>
    <s v="D67755181003"/>
    <s v="0009056077"/>
    <d v="2023-11-08T00:00:00"/>
    <s v="0006396959"/>
    <x v="1"/>
    <s v="NEW TRAVEL LIINES INDIA PRIVATE LIMITED"/>
    <s v="0012425805"/>
    <s v="9586688775"/>
    <s v="PLOT NO-1, RAM NAGAR NORTH,MADIPAKKAM,GANGAI STREET, Kancheepuram 600091"/>
    <s v="S2"/>
    <s v="LS1510.3C6RV"/>
    <x v="4"/>
    <s v="ICV BUS"/>
    <s v="GUINDY"/>
    <s v="STAFF BUS"/>
    <s v="CCL15103G00005"/>
    <s v="MB1PAEDDXPEDM1565"/>
    <x v="0"/>
    <s v="0002304722"/>
    <d v="2023-11-08T00:00:00"/>
    <s v="1"/>
    <s v="0000945577"/>
    <d v="2023-11-08T00:00:00"/>
    <s v="1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8T00:00:00"/>
    <s v="0006388675"/>
    <x v="1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7PREN5836"/>
    <x v="0"/>
    <s v="0002303533"/>
    <d v="2023-11-07T00:00:00"/>
    <s v="5"/>
    <s v="0000945763"/>
    <d v="2023-11-08T00:00:00"/>
    <s v="5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8T00:00:00"/>
    <s v="1000192153"/>
    <x v="2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MADURAVOYAL"/>
    <s v="MARKET LOAD"/>
    <s v="CDE161524C0002"/>
    <s v="MB1A3GCD9PRFM9054"/>
    <x v="1"/>
    <s v="0002297890"/>
    <d v="2023-11-02T00:00:00"/>
    <s v="6"/>
    <s v="0000944709"/>
    <d v="2023-11-02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8T00:00:00"/>
    <s v="1000200607"/>
    <x v="2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MADURAVOYAL"/>
    <s v="MARKET LOAD"/>
    <s v="CDE161524C0002"/>
    <s v="MB1A3GCD8PREN6431"/>
    <x v="1"/>
    <s v="0002297890"/>
    <d v="2023-11-02T00:00:00"/>
    <s v="6"/>
    <s v="0000944709"/>
    <d v="2023-11-02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8T00:00:00"/>
    <s v="1000247552"/>
    <x v="2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MADURAVOYAL"/>
    <s v="MARKET LOAD"/>
    <s v="CDE161524C0002"/>
    <s v="MB1A3GCD9PREN5837"/>
    <x v="1"/>
    <s v="0002297890"/>
    <d v="2023-11-02T00:00:00"/>
    <s v="6"/>
    <s v="0000944709"/>
    <d v="2023-11-02T00:00:00"/>
    <s v="6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8T00:00:00"/>
    <s v="0006400382"/>
    <x v="0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3PREN5834"/>
    <x v="0"/>
    <s v="0002303533"/>
    <d v="2023-11-07T00:00:00"/>
    <s v="5"/>
    <s v="0000945763"/>
    <d v="2023-11-08T00:00:00"/>
    <s v="5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8T00:00:00"/>
    <s v="0006388675"/>
    <x v="0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7PREN5836"/>
    <x v="0"/>
    <s v="0002303533"/>
    <d v="2023-11-07T00:00:00"/>
    <s v="5"/>
    <s v="0000945763"/>
    <d v="2023-11-08T00:00:00"/>
    <s v="5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8T00:00:00"/>
    <s v="0006398843"/>
    <x v="0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9PRFM9054"/>
    <x v="0"/>
    <s v="0002303533"/>
    <d v="2023-11-07T00:00:00"/>
    <s v="5"/>
    <s v="0000945763"/>
    <d v="2023-11-08T00:00:00"/>
    <s v="5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8T00:00:00"/>
    <s v="0006398843"/>
    <x v="1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9PRFM9054"/>
    <x v="0"/>
    <s v="0002303533"/>
    <d v="2023-11-07T00:00:00"/>
    <s v="5"/>
    <s v="0000945763"/>
    <d v="2023-11-08T00:00:00"/>
    <s v="5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8T00:00:00"/>
    <s v="0006387520"/>
    <x v="1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8PREN6431"/>
    <x v="0"/>
    <s v="0002303533"/>
    <d v="2023-11-07T00:00:00"/>
    <s v="5"/>
    <s v="0000945763"/>
    <d v="2023-11-08T00:00:00"/>
    <s v="5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8T00:00:00"/>
    <s v="0006387520"/>
    <x v="0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8PREN6431"/>
    <x v="0"/>
    <s v="0002303533"/>
    <d v="2023-11-07T00:00:00"/>
    <s v="5"/>
    <s v="0000945763"/>
    <d v="2023-11-08T00:00:00"/>
    <s v="5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8T00:00:00"/>
    <s v="0006400382"/>
    <x v="1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3PREN5834"/>
    <x v="0"/>
    <s v="0002303533"/>
    <d v="2023-11-07T00:00:00"/>
    <s v="5"/>
    <s v="0000945763"/>
    <d v="2023-11-08T00:00:00"/>
    <s v="5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8T00:00:00"/>
    <s v="0006400502"/>
    <x v="0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9PREN5837"/>
    <x v="0"/>
    <s v="0002303533"/>
    <d v="2023-11-07T00:00:00"/>
    <s v="5"/>
    <s v="0000945763"/>
    <d v="2023-11-08T00:00:00"/>
    <s v="5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8T00:00:00"/>
    <s v="0006400502"/>
    <x v="1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9PREN5837"/>
    <x v="0"/>
    <s v="0002303533"/>
    <d v="2023-11-07T00:00:00"/>
    <s v="5"/>
    <s v="0000945763"/>
    <d v="2023-11-08T00:00:00"/>
    <s v="5"/>
  </r>
  <r>
    <s v="Z002"/>
    <s v="SZ1"/>
    <s v="R010"/>
    <s v="CHENNAI"/>
    <s v="AO06"/>
    <s v="CHENNAI"/>
    <s v="S757"/>
    <x v="0"/>
    <s v="5518"/>
    <x v="5"/>
    <x v="4"/>
    <s v="YOUGESH KANNAN G"/>
    <s v="D67755181003"/>
    <s v="0009056077"/>
    <d v="2023-11-08T00:00:00"/>
    <s v="0006391750"/>
    <x v="1"/>
    <s v="RAMAKRISHNAN MAHENDRAN"/>
    <s v="0012562912"/>
    <s v="8800000111"/>
    <s v="SHOP NO-B-20, NO-6, SRIJI MAJESTIC COMPLEX KOYAMBEDU Chennai 600107"/>
    <s v="S2"/>
    <s v="TF2513.5F6R"/>
    <x v="3"/>
    <s v="MCV BUS"/>
    <s v="MADURAVOYAL"/>
    <s v="LONG DISTANCE (INTERCITY)"/>
    <s v="CCN25135D00006"/>
    <s v="MB1PVELD3PEDM1266"/>
    <x v="0"/>
    <s v="0002297947"/>
    <d v="2023-11-01T00:00:00"/>
    <s v="4"/>
    <s v="0000944397"/>
    <d v="2023-11-01T00:00:00"/>
    <s v="4"/>
  </r>
  <r>
    <s v="Z002"/>
    <s v="SZ1"/>
    <s v="R010"/>
    <s v="CHENNAI"/>
    <s v="AO06"/>
    <s v="CHENNAI"/>
    <s v="S757"/>
    <x v="0"/>
    <s v="5518"/>
    <x v="5"/>
    <x v="4"/>
    <s v="YOUGESH KANNAN G"/>
    <s v="D67755181003"/>
    <s v="0009056077"/>
    <d v="2023-11-08T00:00:00"/>
    <s v="0006397176"/>
    <x v="0"/>
    <s v="RAMAKRISHNAN MAHENDRAN"/>
    <s v="0012562912"/>
    <s v="8800000111"/>
    <s v="SHOP NO-B-20, NO-6, SRIJI MAJESTIC COMPLEX KOYAMBEDU Chennai 600107"/>
    <s v="S2"/>
    <s v="TF2513.5F6R"/>
    <x v="3"/>
    <s v="MCV BUS"/>
    <s v="MADURAVOYAL"/>
    <s v="LONG DISTANCE (INTERCITY)"/>
    <s v="CCN25135D00006"/>
    <s v="MB1PVELD0PEDM1645"/>
    <x v="0"/>
    <s v="0002297947"/>
    <d v="2023-11-01T00:00:00"/>
    <s v="4"/>
    <s v="0000944397"/>
    <d v="2023-11-01T00:00:00"/>
    <s v="4"/>
  </r>
  <r>
    <s v="Z002"/>
    <s v="SZ1"/>
    <s v="R010"/>
    <s v="CHENNAI"/>
    <s v="AO06"/>
    <s v="CHENNAI"/>
    <s v="S757"/>
    <x v="0"/>
    <s v="5518"/>
    <x v="5"/>
    <x v="4"/>
    <s v="YOUGESH KANNAN G"/>
    <s v="D67755181003"/>
    <s v="0009056077"/>
    <d v="2023-11-08T00:00:00"/>
    <s v="0006397176"/>
    <x v="1"/>
    <s v="RAMAKRISHNAN MAHENDRAN"/>
    <s v="0012562912"/>
    <s v="8800000111"/>
    <s v="SHOP NO-B-20, NO-6, SRIJI MAJESTIC COMPLEX KOYAMBEDU Chennai 600107"/>
    <s v="S2"/>
    <s v="TF2513.5F6R"/>
    <x v="3"/>
    <s v="MCV BUS"/>
    <s v="MADURAVOYAL"/>
    <s v="LONG DISTANCE (INTERCITY)"/>
    <s v="CCN25135D00006"/>
    <s v="MB1PVELD0PEDM1645"/>
    <x v="0"/>
    <s v="0002297947"/>
    <d v="2023-11-01T00:00:00"/>
    <s v="4"/>
    <s v="0000944397"/>
    <d v="2023-11-01T00:00:00"/>
    <s v="4"/>
  </r>
  <r>
    <s v="Z002"/>
    <s v="SZ1"/>
    <s v="R010"/>
    <s v="CHENNAI"/>
    <s v="AO06"/>
    <s v="CHENNAI"/>
    <s v="S757"/>
    <x v="0"/>
    <s v="5518"/>
    <x v="5"/>
    <x v="4"/>
    <s v="YOUGESH KANNAN G"/>
    <s v="D67755181003"/>
    <s v="0009056077"/>
    <d v="2023-11-08T00:00:00"/>
    <s v="0006397175"/>
    <x v="0"/>
    <s v="RAMAKRISHNAN MAHENDRAN"/>
    <s v="0012562912"/>
    <s v="8800000111"/>
    <s v="SHOP NO-B-20, NO-6, SRIJI MAJESTIC COMPLEX KOYAMBEDU Chennai 600107"/>
    <s v="S2"/>
    <s v="TF2513.5F6R"/>
    <x v="3"/>
    <s v="MCV BUS"/>
    <s v="MADURAVOYAL"/>
    <s v="LONG DISTANCE (INTERCITY)"/>
    <s v="CCN25135D00006"/>
    <s v="MB1PVELD0PEDM1337"/>
    <x v="0"/>
    <s v="0002297947"/>
    <d v="2023-11-01T00:00:00"/>
    <s v="4"/>
    <s v="0000944397"/>
    <d v="2023-11-01T00:00:00"/>
    <s v="4"/>
  </r>
  <r>
    <s v="Z002"/>
    <s v="SZ1"/>
    <s v="R010"/>
    <s v="CHENNAI"/>
    <s v="AO06"/>
    <s v="CHENNAI"/>
    <s v="S757"/>
    <x v="0"/>
    <s v="5518"/>
    <x v="5"/>
    <x v="4"/>
    <s v="YOUGESH KANNAN G"/>
    <s v="D67755181003"/>
    <s v="0009056077"/>
    <d v="2023-11-08T00:00:00"/>
    <s v="0006391750"/>
    <x v="0"/>
    <s v="RAMAKRISHNAN MAHENDRAN"/>
    <s v="0012562912"/>
    <s v="8800000111"/>
    <s v="SHOP NO-B-20, NO-6, SRIJI MAJESTIC COMPLEX KOYAMBEDU Chennai 600107"/>
    <s v="S2"/>
    <s v="TF2513.5F6R"/>
    <x v="3"/>
    <s v="MCV BUS"/>
    <s v="MADURAVOYAL"/>
    <s v="LONG DISTANCE (INTERCITY)"/>
    <s v="CCN25135D00006"/>
    <s v="MB1PVELD3PEDM1266"/>
    <x v="0"/>
    <s v="0002297947"/>
    <d v="2023-11-01T00:00:00"/>
    <s v="4"/>
    <s v="0000944397"/>
    <d v="2023-11-01T00:00:00"/>
    <s v="4"/>
  </r>
  <r>
    <s v="Z002"/>
    <s v="SZ1"/>
    <s v="R010"/>
    <s v="CHENNAI"/>
    <s v="AO06"/>
    <s v="CHENNAI"/>
    <s v="S757"/>
    <x v="0"/>
    <s v="5518"/>
    <x v="5"/>
    <x v="4"/>
    <s v="YOUGESH KANNAN G"/>
    <s v="D67755181003"/>
    <s v="0009056077"/>
    <d v="2023-11-08T00:00:00"/>
    <s v="0006397175"/>
    <x v="1"/>
    <s v="RAMAKRISHNAN MAHENDRAN"/>
    <s v="0012562912"/>
    <s v="8800000111"/>
    <s v="SHOP NO-B-20, NO-6, SRIJI MAJESTIC COMPLEX KOYAMBEDU Chennai 600107"/>
    <s v="S2"/>
    <s v="TF2513.5F6R"/>
    <x v="3"/>
    <s v="MCV BUS"/>
    <s v="MADURAVOYAL"/>
    <s v="LONG DISTANCE (INTERCITY)"/>
    <s v="CCN25135D00006"/>
    <s v="MB1PVELD0PEDM1337"/>
    <x v="0"/>
    <s v="0002297947"/>
    <d v="2023-11-01T00:00:00"/>
    <s v="4"/>
    <s v="0000944397"/>
    <d v="2023-11-01T00:00:00"/>
    <s v="4"/>
  </r>
  <r>
    <s v="Z002"/>
    <s v="SZ1"/>
    <s v="R010"/>
    <s v="CHENNAI"/>
    <s v="AO06"/>
    <s v="CHENNAI"/>
    <s v="S757"/>
    <x v="0"/>
    <s v="5518"/>
    <x v="5"/>
    <x v="4"/>
    <s v="YOUGESH KANNAN G"/>
    <s v="D67755181003"/>
    <s v="0009056077"/>
    <d v="2023-11-08T00:00:00"/>
    <s v="0006398763"/>
    <x v="0"/>
    <s v="RAMAKRISHNAN MAHENDRAN"/>
    <s v="0012562912"/>
    <s v="8800000111"/>
    <s v="SHOP NO-B-20, NO-6, SRIJI MAJESTIC COMPLEX KOYAMBEDU Chennai 600107"/>
    <s v="S2"/>
    <s v="TF2513.5F6R"/>
    <x v="3"/>
    <s v="MCV BUS"/>
    <s v="MADURAVOYAL"/>
    <s v="LONG DISTANCE (INTERCITY)"/>
    <s v="CCN25135D00006"/>
    <s v="MB1PVELD0PEDM1533"/>
    <x v="0"/>
    <s v="0002297947"/>
    <d v="2023-11-01T00:00:00"/>
    <s v="4"/>
    <s v="0000944397"/>
    <d v="2023-11-01T00:00:00"/>
    <s v="4"/>
  </r>
  <r>
    <s v="Z002"/>
    <s v="SZ1"/>
    <s v="R010"/>
    <s v="CHENNAI"/>
    <s v="AO06"/>
    <s v="CHENNAI"/>
    <s v="S757"/>
    <x v="0"/>
    <s v="5518"/>
    <x v="5"/>
    <x v="4"/>
    <s v="YOUGESH KANNAN G"/>
    <s v="D67755181003"/>
    <s v="0009056077"/>
    <d v="2023-11-08T00:00:00"/>
    <s v="0006398763"/>
    <x v="1"/>
    <s v="RAMAKRISHNAN MAHENDRAN"/>
    <s v="0012562912"/>
    <s v="8800000111"/>
    <s v="SHOP NO-B-20, NO-6, SRIJI MAJESTIC COMPLEX KOYAMBEDU Chennai 600107"/>
    <s v="S2"/>
    <s v="TF2513.5F6R"/>
    <x v="3"/>
    <s v="MCV BUS"/>
    <s v="MADURAVOYAL"/>
    <s v="LONG DISTANCE (INTERCITY)"/>
    <s v="CCN25135D00006"/>
    <s v="MB1PVELD0PEDM1533"/>
    <x v="0"/>
    <s v="0002297947"/>
    <d v="2023-11-01T00:00:00"/>
    <s v="4"/>
    <s v="0000944397"/>
    <d v="2023-11-01T00:00:00"/>
    <s v="4"/>
  </r>
  <r>
    <s v="Z002"/>
    <s v="SZ1"/>
    <s v="R010"/>
    <s v="CHENNAI"/>
    <s v="AO06"/>
    <s v="CHENNAI"/>
    <s v="S757"/>
    <x v="0"/>
    <s v="5522"/>
    <x v="2"/>
    <x v="8"/>
    <s v="KARTHIKEYAN B"/>
    <s v="D67755221013"/>
    <s v="0009065121"/>
    <d v="2023-11-08T00:00:00"/>
    <s v="0006392470"/>
    <x v="0"/>
    <s v="E2673 SRIMUSHNAM PRIMARY AGRICULTURAL CO OPERATIVE CREDIT SOCIETY LIMITED"/>
    <s v="0012563138"/>
    <s v="9942698522"/>
    <s v="PACCS BUILDING COMPLEX VRIDHACHALAM MAIN ROAD SRIMUSHNAM Vridhachalam 608703"/>
    <s v="S2"/>
    <s v="CA1615/42 H FBL"/>
    <x v="0"/>
    <s v="15T"/>
    <s v="VIRUDHACHALAM"/>
    <s v="FOOD GRAINS"/>
    <s v="CDE161520H0007"/>
    <s v="MB1A3GCD3PEEL7941"/>
    <x v="0"/>
    <s v="0002298344"/>
    <d v="2023-11-01T00:00:00"/>
    <s v="1"/>
    <s v="0000945326"/>
    <d v="2023-11-07T00:00:00"/>
    <s v="1"/>
  </r>
  <r>
    <s v="Z002"/>
    <s v="SZ1"/>
    <s v="R010"/>
    <s v="CHENNAI"/>
    <s v="AO06"/>
    <s v="CHENNAI"/>
    <s v="S757"/>
    <x v="0"/>
    <s v="5522"/>
    <x v="2"/>
    <x v="8"/>
    <s v="KARTHIKEYAN B"/>
    <s v="D67755221013"/>
    <s v="0009065121"/>
    <d v="2023-11-08T00:00:00"/>
    <s v="0006392470"/>
    <x v="1"/>
    <s v="E2673 SRIMUSHNAM PRIMARY AGRICULTURAL CO OPERATIVE CREDIT SOCIETY LIMITED"/>
    <s v="0012563138"/>
    <s v="9942698522"/>
    <s v="PACCS BUILDING COMPLEX VRIDHACHALAM MAIN ROAD SRIMUSHNAM Vridhachalam 608703"/>
    <s v="S2"/>
    <s v="CA1615/42 H FBL"/>
    <x v="0"/>
    <s v="15T"/>
    <s v="VIRUDHACHALAM"/>
    <s v="FOOD GRAINS"/>
    <s v="CDE161520H0007"/>
    <s v="MB1A3GCD3PEEL7941"/>
    <x v="0"/>
    <s v="0002298344"/>
    <d v="2023-11-01T00:00:00"/>
    <s v="1"/>
    <s v="0000945326"/>
    <d v="2023-11-07T00:00:00"/>
    <s v="1"/>
  </r>
  <r>
    <s v="Z002"/>
    <s v="SZ1"/>
    <s v="R010"/>
    <s v="CHENNAI"/>
    <s v="AO06"/>
    <s v="CHENNAI"/>
    <s v="S757"/>
    <x v="0"/>
    <s v="5512"/>
    <x v="4"/>
    <x v="3"/>
    <s v="BALAJI G"/>
    <s v="D67755121026"/>
    <s v="0009069193"/>
    <d v="2023-11-08T00:00:00"/>
    <s v="0006398504"/>
    <x v="0"/>
    <s v="GLOVIS INDIA PRIVATE LIMITED"/>
    <s v="0012448180"/>
    <s v="9840784888"/>
    <s v="Place of Business_x000a__x000a_109, GLOVIS INDIA PRIVATE LIMITED, MANNUR SRIPERUMBUDUR 602105"/>
    <s v="S3"/>
    <s v="CA1415/47 H CC"/>
    <x v="0"/>
    <s v="12T"/>
    <s v="MADURAVOYAL"/>
    <s v="AUTO PARTS"/>
    <s v="CDE141522C0003"/>
    <s v="MB1AYGCD3PRDP4222"/>
    <x v="0"/>
    <s v="0002303538"/>
    <d v="2023-11-07T00:00:00"/>
    <s v="3"/>
    <s v="0000945631"/>
    <d v="2023-11-07T00:00:00"/>
    <s v="3"/>
  </r>
  <r>
    <s v="Z002"/>
    <s v="SZ1"/>
    <s v="R010"/>
    <s v="CHENNAI"/>
    <s v="AO06"/>
    <s v="CHENNAI"/>
    <s v="S757"/>
    <x v="0"/>
    <s v="5518"/>
    <x v="5"/>
    <x v="4"/>
    <s v="PRABAKARAN A"/>
    <s v="D67755181031"/>
    <s v="0009076979"/>
    <d v="2023-11-08T00:00:00"/>
    <s v="0006386866"/>
    <x v="0"/>
    <s v="CONCRETE OEM PRIVATE LIMITED"/>
    <s v="0011489167"/>
    <s v="9384838384"/>
    <s v="SF No.186 and 188, Concrete OEM Private Limited, Erikarai Ro Chennai 600069"/>
    <s v="S1"/>
    <s v="UE2820/39 R RMC"/>
    <x v="1"/>
    <s v="6X4 TIPPER"/>
    <s v="THIRUVALLUR"/>
    <s v="RMC"/>
    <s v="CHU2820S07NM01"/>
    <s v=""/>
    <x v="0"/>
    <s v="0002304266"/>
    <d v="2023-11-08T00:00:00"/>
    <s v="6"/>
    <s v="0000945792"/>
    <d v="2023-11-08T00:00:00"/>
    <s v="6"/>
  </r>
  <r>
    <s v="Z002"/>
    <s v="SZ1"/>
    <s v="R010"/>
    <s v="CHENNAI"/>
    <s v="AO06"/>
    <s v="CHENNAI"/>
    <s v="S757"/>
    <x v="0"/>
    <s v="5518"/>
    <x v="5"/>
    <x v="4"/>
    <s v="PRABAKARAN A"/>
    <s v="D67755181031"/>
    <s v="0009076979"/>
    <d v="2023-11-08T00:00:00"/>
    <s v="0006391037"/>
    <x v="0"/>
    <s v="CONCRETE OEM PRIVATE LIMITED"/>
    <s v="0011489167"/>
    <s v="9384838384"/>
    <s v="SF No.186 and 188, Concrete OEM Private Limited, Erikarai Ro Chennai 600069"/>
    <s v="S1"/>
    <s v="UE2820/39 R RMC"/>
    <x v="1"/>
    <s v="6X4 TIPPER"/>
    <s v="THIRUVALLUR"/>
    <s v="RMC"/>
    <s v="CHU2820S07NM01"/>
    <s v=""/>
    <x v="0"/>
    <s v="0002304266"/>
    <d v="2023-11-08T00:00:00"/>
    <s v="6"/>
    <s v="0000945792"/>
    <d v="2023-11-08T00:00:00"/>
    <s v="6"/>
  </r>
  <r>
    <s v="Z002"/>
    <s v="SZ1"/>
    <s v="R010"/>
    <s v="CHENNAI"/>
    <s v="AO06"/>
    <s v="CHENNAI"/>
    <s v="S757"/>
    <x v="0"/>
    <s v="5518"/>
    <x v="5"/>
    <x v="4"/>
    <s v="PRABAKARAN A"/>
    <s v="D67755181031"/>
    <s v="0009076979"/>
    <d v="2023-11-08T00:00:00"/>
    <s v="0006396963"/>
    <x v="0"/>
    <s v="CONCRETE OEM PRIVATE LIMITED"/>
    <s v="0011489167"/>
    <s v="9384838384"/>
    <s v="SF No.186 and 188, Concrete OEM Private Limited, Erikarai Ro Chennai 600069"/>
    <s v="S1"/>
    <s v="UE2820/39 R RMC"/>
    <x v="1"/>
    <s v="6X4 TIPPER"/>
    <s v="THIRUVALLUR"/>
    <s v="RMC"/>
    <s v="CHU2820S07NM01"/>
    <s v=""/>
    <x v="0"/>
    <s v="0002304266"/>
    <d v="2023-11-08T00:00:00"/>
    <s v="6"/>
    <s v="0000945792"/>
    <d v="2023-11-08T00:00:00"/>
    <s v="6"/>
  </r>
  <r>
    <s v="Z002"/>
    <s v="SZ1"/>
    <s v="R010"/>
    <s v="CHENNAI"/>
    <s v="AO06"/>
    <s v="CHENNAI"/>
    <s v="S757"/>
    <x v="0"/>
    <s v="5518"/>
    <x v="5"/>
    <x v="4"/>
    <s v="PRABAKARAN A"/>
    <s v="D67755181031"/>
    <s v="0009076979"/>
    <d v="2023-11-08T00:00:00"/>
    <s v="0006394622"/>
    <x v="0"/>
    <s v="CONCRETE OEM PRIVATE LIMITED"/>
    <s v="0011489167"/>
    <s v="9384838384"/>
    <s v="SF No.186 and 188, Concrete OEM Private Limited, Erikarai Ro Chennai 600069"/>
    <s v="S1"/>
    <s v="UE2820/39 R RMC"/>
    <x v="1"/>
    <s v="6X4 TIPPER"/>
    <s v="THIRUVALLUR"/>
    <s v="RMC"/>
    <s v="CHU2820S07NM01"/>
    <s v=""/>
    <x v="0"/>
    <s v="0002304266"/>
    <d v="2023-11-08T00:00:00"/>
    <s v="6"/>
    <s v="0000945792"/>
    <d v="2023-11-08T00:00:00"/>
    <s v="6"/>
  </r>
  <r>
    <s v="Z002"/>
    <s v="SZ1"/>
    <s v="R010"/>
    <s v="CHENNAI"/>
    <s v="AO06"/>
    <s v="CHENNAI"/>
    <s v="S757"/>
    <x v="0"/>
    <s v="5518"/>
    <x v="5"/>
    <x v="4"/>
    <s v="PRABAKARAN A"/>
    <s v="D67755181031"/>
    <s v="0009076979"/>
    <d v="2023-11-08T00:00:00"/>
    <s v="0006396146"/>
    <x v="0"/>
    <s v="CONCRETE OEM PRIVATE LIMITED"/>
    <s v="0011489167"/>
    <s v="9384838384"/>
    <s v="SF No.186 and 188, Concrete OEM Private Limited, Erikarai Ro Chennai 600069"/>
    <s v="S1"/>
    <s v="UE2820/39 R RMC"/>
    <x v="1"/>
    <s v="6X4 TIPPER"/>
    <s v="THIRUVALLUR"/>
    <s v="RMC"/>
    <s v="CHU2820S07NM01"/>
    <s v=""/>
    <x v="0"/>
    <s v="0002304266"/>
    <d v="2023-11-08T00:00:00"/>
    <s v="6"/>
    <s v="0000945792"/>
    <d v="2023-11-08T00:00:00"/>
    <s v="6"/>
  </r>
  <r>
    <s v="Z002"/>
    <s v="SZ1"/>
    <s v="R010"/>
    <s v="CHENNAI"/>
    <s v="AO06"/>
    <s v="CHENNAI"/>
    <s v="S757"/>
    <x v="0"/>
    <s v="5518"/>
    <x v="5"/>
    <x v="4"/>
    <s v="PRABAKARAN A"/>
    <s v="D67755181031"/>
    <s v="0009076979"/>
    <d v="2023-11-08T00:00:00"/>
    <s v="0006396302"/>
    <x v="0"/>
    <s v="CONCRETE OEM PRIVATE LIMITED"/>
    <s v="0011489167"/>
    <s v="9384838384"/>
    <s v="SF No.186 and 188, Concrete OEM Private Limited, Erikarai Ro Chennai 600069"/>
    <s v="S1"/>
    <s v="UE2820/39 R RMC"/>
    <x v="1"/>
    <s v="6X4 TIPPER"/>
    <s v="THIRUVALLUR"/>
    <s v="RMC"/>
    <s v="CHU2820S07NM01"/>
    <s v=""/>
    <x v="0"/>
    <s v="0002304266"/>
    <d v="2023-11-08T00:00:00"/>
    <s v="6"/>
    <s v="0000945792"/>
    <d v="2023-11-08T00:00:00"/>
    <s v="6"/>
  </r>
  <r>
    <s v="Z002"/>
    <s v="SZ1"/>
    <s v="R010"/>
    <s v="CHENNAI"/>
    <s v="AO06"/>
    <s v="CHENNAI"/>
    <s v="S757"/>
    <x v="0"/>
    <s v="5512"/>
    <x v="4"/>
    <x v="9"/>
    <s v="VIJAYAN P"/>
    <s v="D67755121008"/>
    <s v="0009056062"/>
    <d v="2023-11-08T00:00:00"/>
    <s v="0006395581"/>
    <x v="0"/>
    <s v="BALAJI C"/>
    <s v="0012536853"/>
    <s v="9940883817"/>
    <s v="NO.1031,METTU STREET SERPAKKAM,VADUGASATHU ARNI 632316"/>
    <s v="S2"/>
    <s v="CA1915/47 H FBL"/>
    <x v="0"/>
    <s v="15T"/>
    <s v="MADHAVARAM"/>
    <s v="MARKET LOAD"/>
    <s v="CDE191522W0003_WH"/>
    <s v="MB1A5GCD9PRFM5693"/>
    <x v="0"/>
    <s v="0002276042"/>
    <d v="2023-10-16T00:00:00"/>
    <s v="1"/>
    <s v="0000939213"/>
    <d v="2023-10-25T00:00:00"/>
    <s v="1"/>
  </r>
  <r>
    <s v="Z002"/>
    <s v="SZ1"/>
    <s v="R010"/>
    <s v="CHENNAI"/>
    <s v="AO06"/>
    <s v="CHENNAI"/>
    <s v="S757"/>
    <x v="0"/>
    <s v="5512"/>
    <x v="4"/>
    <x v="9"/>
    <s v="VIJAYAN P"/>
    <s v="D67755121008"/>
    <s v="0009056062"/>
    <d v="2023-11-08T00:00:00"/>
    <s v="0006395581"/>
    <x v="1"/>
    <s v="BALAJI C"/>
    <s v="0012536853"/>
    <s v="9940883817"/>
    <s v="NO.1031,METTU STREET SERPAKKAM,VADUGASATHU ARNI 632316"/>
    <s v="S2"/>
    <s v="CA1915/47 H FBL"/>
    <x v="0"/>
    <s v="15T"/>
    <s v="MADHAVARAM"/>
    <s v="MARKET LOAD"/>
    <s v="CDE191522W0003_WH"/>
    <s v="MB1A5GCD9PRFM5693"/>
    <x v="0"/>
    <s v="0002276042"/>
    <d v="2023-10-16T00:00:00"/>
    <s v="1"/>
    <s v="0000939213"/>
    <d v="2023-10-25T00:00:00"/>
    <s v="1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0006392897"/>
    <x v="0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1PREN6433"/>
    <x v="0"/>
    <s v="0002303562"/>
    <d v="2023-11-07T00:00:00"/>
    <s v="6"/>
    <s v="0000945527"/>
    <d v="2023-11-09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0006400675"/>
    <x v="1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5PREN5835"/>
    <x v="0"/>
    <s v="0002303562"/>
    <d v="2023-11-07T00:00:00"/>
    <s v="6"/>
    <s v="0000945527"/>
    <d v="2023-11-09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0006394439"/>
    <x v="1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6PREN6430"/>
    <x v="0"/>
    <s v="0002303562"/>
    <d v="2023-11-07T00:00:00"/>
    <s v="6"/>
    <s v="0000945527"/>
    <d v="2023-11-09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0006402851"/>
    <x v="0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XPREN6432"/>
    <x v="0"/>
    <s v="0002303562"/>
    <d v="2023-11-07T00:00:00"/>
    <s v="6"/>
    <s v="0000945527"/>
    <d v="2023-11-09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0006400675"/>
    <x v="0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5PREN5835"/>
    <x v="0"/>
    <s v="0002303562"/>
    <d v="2023-11-07T00:00:00"/>
    <s v="6"/>
    <s v="0000945527"/>
    <d v="2023-11-09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0006402851"/>
    <x v="1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XPREN6432"/>
    <x v="0"/>
    <s v="0002303562"/>
    <d v="2023-11-07T00:00:00"/>
    <s v="6"/>
    <s v="0000945527"/>
    <d v="2023-11-09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0006401606"/>
    <x v="0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3PREN6434"/>
    <x v="0"/>
    <s v="0002303562"/>
    <d v="2023-11-07T00:00:00"/>
    <s v="6"/>
    <s v="0000945527"/>
    <d v="2023-11-09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0006401606"/>
    <x v="1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3PREN6434"/>
    <x v="0"/>
    <s v="0002303562"/>
    <d v="2023-11-07T00:00:00"/>
    <s v="6"/>
    <s v="0000945527"/>
    <d v="2023-11-09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0006392897"/>
    <x v="1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1PREN6433"/>
    <x v="0"/>
    <s v="0002303562"/>
    <d v="2023-11-07T00:00:00"/>
    <s v="6"/>
    <s v="0000945527"/>
    <d v="2023-11-09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0006394438"/>
    <x v="0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1PREN5833"/>
    <x v="0"/>
    <s v="0002303562"/>
    <d v="2023-11-07T00:00:00"/>
    <s v="6"/>
    <s v="0000945527"/>
    <d v="2023-11-09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0006394439"/>
    <x v="0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6PREN6430"/>
    <x v="0"/>
    <s v="0002303562"/>
    <d v="2023-11-07T00:00:00"/>
    <s v="6"/>
    <s v="0000945527"/>
    <d v="2023-11-09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0006394438"/>
    <x v="1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1PREN5833"/>
    <x v="0"/>
    <s v="0002303562"/>
    <d v="2023-11-07T00:00:00"/>
    <s v="6"/>
    <s v="0000945527"/>
    <d v="2023-11-09T00:00:00"/>
    <s v="6"/>
  </r>
  <r>
    <s v="Z002"/>
    <s v="SZ1"/>
    <s v="R010"/>
    <s v="CHENNAI"/>
    <s v="AO06"/>
    <s v="CHENNAI"/>
    <s v="S757"/>
    <x v="0"/>
    <s v="5522"/>
    <x v="2"/>
    <x v="8"/>
    <s v="KOVARTHANAN P"/>
    <s v="D67755221003"/>
    <s v="0009056086"/>
    <d v="2023-11-09T00:00:00"/>
    <s v="0006388969"/>
    <x v="1"/>
    <s v="MOVUR PRIMARY AGRICULTURAL CO OPERATIVE CREDIT SOCIETY LTD E2607"/>
    <s v="0012563124"/>
    <s v="9442866194"/>
    <s v="Movur Cuddalore Kattumannar koil 608301"/>
    <s v="S2"/>
    <s v="CA1615/42 H FBL"/>
    <x v="0"/>
    <s v="15T"/>
    <s v="CUDDALORE"/>
    <s v="MARKET LOAD"/>
    <s v="CDE161520H0007"/>
    <s v="MB1A3GCD6PEJL0292"/>
    <x v="0"/>
    <s v="0002303321"/>
    <d v="2023-11-07T00:00:00"/>
    <s v="1"/>
    <s v="0000945465"/>
    <d v="2023-11-08T00:00:00"/>
    <s v="1"/>
  </r>
  <r>
    <s v="Z002"/>
    <s v="SZ1"/>
    <s v="R010"/>
    <s v="CHENNAI"/>
    <s v="AO06"/>
    <s v="CHENNAI"/>
    <s v="S757"/>
    <x v="0"/>
    <s v="5522"/>
    <x v="2"/>
    <x v="8"/>
    <s v="KOVARTHANAN P"/>
    <s v="D67755221003"/>
    <s v="0009056086"/>
    <d v="2023-11-09T00:00:00"/>
    <s v="0006388969"/>
    <x v="0"/>
    <s v="MOVUR PRIMARY AGRICULTURAL CO OPERATIVE CREDIT SOCIETY LTD E2607"/>
    <s v="0012563124"/>
    <s v="9442866194"/>
    <s v="Movur Cuddalore Kattumannar koil 608301"/>
    <s v="S2"/>
    <s v="CA1615/42 H FBL"/>
    <x v="0"/>
    <s v="15T"/>
    <s v="CUDDALORE"/>
    <s v="MARKET LOAD"/>
    <s v="CDE161520H0007"/>
    <s v="MB1A3GCD6PEJL0292"/>
    <x v="0"/>
    <s v="0002303321"/>
    <d v="2023-11-07T00:00:00"/>
    <s v="1"/>
    <s v="0000945465"/>
    <d v="2023-11-08T00:00:00"/>
    <s v="1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9T00:00:00"/>
    <s v="1000249850"/>
    <x v="2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6PREN6430"/>
    <x v="1"/>
    <s v="0002298394"/>
    <d v="2023-11-02T00:00:00"/>
    <s v="5"/>
    <s v="0000940508"/>
    <d v="2023-11-02T00:00:00"/>
    <s v="5"/>
  </r>
  <r>
    <s v="Z002"/>
    <s v="SZ1"/>
    <s v="R010"/>
    <s v="CHENNAI"/>
    <s v="AO06"/>
    <s v="CHENNAI"/>
    <s v="S757"/>
    <x v="0"/>
    <s v="5510"/>
    <x v="3"/>
    <x v="2"/>
    <s v="KARTHIKEYAN K"/>
    <s v="D67755101004"/>
    <s v="0009056058"/>
    <d v="2023-11-09T00:00:00"/>
    <s v="0006400676"/>
    <x v="0"/>
    <s v="T EKAMBARAM"/>
    <s v="0012569187"/>
    <s v="8248912535"/>
    <s v="No.124/13C, Borax Nagar, Peravallur, Ponneri, Thiruvallur, T THIRUVALLUR 601204"/>
    <s v="S2"/>
    <s v="UJ3525/52 T TIP"/>
    <x v="1"/>
    <s v="8X4 TIPPER"/>
    <s v="GUMMIDIPOONDI"/>
    <s v="BLUE METAL"/>
    <s v="CTU352523B0007"/>
    <s v="MB1JJLHD4PRFM5498"/>
    <x v="0"/>
    <s v="0002304032"/>
    <d v="2023-11-08T00:00:00"/>
    <s v="1"/>
    <s v="0000945686"/>
    <d v="2023-11-09T00:00:00"/>
    <s v="1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1000242815"/>
    <x v="2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MADURAVOYAL"/>
    <s v="MARKET LOAD"/>
    <s v="CDE161524C0002"/>
    <s v="MB1A3GCD1PREN6433"/>
    <x v="1"/>
    <s v="0002297890"/>
    <d v="2023-11-02T00:00:00"/>
    <s v="6"/>
    <s v="0000944709"/>
    <d v="2023-11-02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1000248410"/>
    <x v="2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MADURAVOYAL"/>
    <s v="MARKET LOAD"/>
    <s v="CDE161524C0002"/>
    <s v="MB1A3GCD1PREN5833"/>
    <x v="1"/>
    <s v="0002297890"/>
    <d v="2023-11-02T00:00:00"/>
    <s v="6"/>
    <s v="0000944709"/>
    <d v="2023-11-02T00:00:00"/>
    <s v="6"/>
  </r>
  <r>
    <s v="Z002"/>
    <s v="SZ1"/>
    <s v="R010"/>
    <s v="CHENNAI"/>
    <s v="AO06"/>
    <s v="CHENNAI"/>
    <s v="S757"/>
    <x v="0"/>
    <s v="5512"/>
    <x v="4"/>
    <x v="3"/>
    <s v="RAMKUMAR P"/>
    <s v="D67755121006"/>
    <s v="0009056060"/>
    <d v="2023-11-09T00:00:00"/>
    <s v="1000253068"/>
    <x v="2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MADURAVOYAL"/>
    <s v="MARKET LOAD"/>
    <s v="CDE161524C0002"/>
    <s v="MB1A3GCDXPREN6432"/>
    <x v="1"/>
    <s v="0002297890"/>
    <d v="2023-11-02T00:00:00"/>
    <s v="6"/>
    <s v="0000944709"/>
    <d v="2023-11-02T00:00:00"/>
    <s v="6"/>
  </r>
  <r>
    <s v="Z002"/>
    <s v="SZ1"/>
    <s v="R010"/>
    <s v="CHENNAI"/>
    <s v="AO06"/>
    <s v="CHENNAI"/>
    <s v="S757"/>
    <x v="0"/>
    <s v="5512"/>
    <x v="4"/>
    <x v="3"/>
    <s v="BALAJI G"/>
    <s v="D67755121026"/>
    <s v="0009069193"/>
    <d v="2023-11-09T00:00:00"/>
    <s v="1000203475"/>
    <x v="2"/>
    <s v="GLOVIS INDIA PRIVATE LIMITED"/>
    <s v="0012448180"/>
    <s v="9840784888"/>
    <s v="Place of Business_x000a__x000a_109, GLOVIS INDIA PRIVATE LIMITED, MANNUR SRIPERUMBUDUR 602105"/>
    <s v="S3"/>
    <s v="CA1415/47 H CC"/>
    <x v="0"/>
    <s v="12T"/>
    <s v="MADURAVOYAL"/>
    <s v="MARKET LOAD"/>
    <s v="CDE141522C0003"/>
    <s v="MB1AYGCD7PRDP4224"/>
    <x v="1"/>
    <s v="0002298395"/>
    <d v="2023-11-02T00:00:00"/>
    <s v="3"/>
    <s v="0000943037"/>
    <d v="2023-11-02T00:00:00"/>
    <s v="3"/>
  </r>
  <r>
    <s v="Z002"/>
    <s v="SZ1"/>
    <s v="R010"/>
    <s v="CHENNAI"/>
    <s v="AO06"/>
    <s v="CHENNAI"/>
    <s v="S757"/>
    <x v="0"/>
    <s v="5512"/>
    <x v="4"/>
    <x v="3"/>
    <s v="BALAJI G"/>
    <s v="D67755121026"/>
    <s v="0009069193"/>
    <d v="2023-11-09T00:00:00"/>
    <s v="1000215697"/>
    <x v="2"/>
    <s v="GLOVIS INDIA PRIVATE LIMITED"/>
    <s v="0012448180"/>
    <s v="9840784888"/>
    <s v="Place of Business_x000a__x000a_109, GLOVIS INDIA PRIVATE LIMITED, MANNUR SRIPERUMBUDUR 602105"/>
    <s v="S3"/>
    <s v="CA1415/47 H CC"/>
    <x v="0"/>
    <s v="12T"/>
    <s v="MADURAVOYAL"/>
    <s v="MARKET LOAD"/>
    <s v="CDE141522C0003"/>
    <s v="MB1AYGCD3PRDP4222"/>
    <x v="1"/>
    <s v="0002298395"/>
    <d v="2023-11-02T00:00:00"/>
    <s v="3"/>
    <s v="0000943037"/>
    <d v="2023-11-02T00:00:00"/>
    <s v="3"/>
  </r>
  <r>
    <s v="Z002"/>
    <s v="SZ1"/>
    <s v="R010"/>
    <s v="CHENNAI"/>
    <s v="AO06"/>
    <s v="CHENNAI"/>
    <s v="S757"/>
    <x v="0"/>
    <s v="5512"/>
    <x v="4"/>
    <x v="3"/>
    <s v="BALAJI G"/>
    <s v="D67755121026"/>
    <s v="0009069193"/>
    <d v="2023-11-09T00:00:00"/>
    <s v="0006401332"/>
    <x v="0"/>
    <s v="GLOVIS INDIA PRIVATE LIMITED"/>
    <s v="0012448180"/>
    <s v="9840784888"/>
    <s v="Place of Business_x000a__x000a_109, GLOVIS INDIA PRIVATE LIMITED, MANNUR SRIPERUMBUDUR 602105"/>
    <s v="S3"/>
    <s v="CA1415/47 H CC"/>
    <x v="0"/>
    <s v="12T"/>
    <s v="MADURAVOYAL"/>
    <s v="AUTO PARTS"/>
    <s v="CDE141522C0003"/>
    <s v="MB1AYGCD7PRDP4224"/>
    <x v="0"/>
    <s v="0002303538"/>
    <d v="2023-11-07T00:00:00"/>
    <s v="3"/>
    <s v="0000945631"/>
    <d v="2023-11-07T00:00:00"/>
    <s v="3"/>
  </r>
  <r>
    <s v="Z002"/>
    <s v="SZ1"/>
    <s v="R010"/>
    <s v="CHENNAI"/>
    <s v="AO06"/>
    <s v="CHENNAI"/>
    <s v="S757"/>
    <x v="0"/>
    <s v="5512"/>
    <x v="4"/>
    <x v="3"/>
    <s v="BALAJI G"/>
    <s v="D67755121026"/>
    <s v="0009069193"/>
    <d v="2023-11-09T00:00:00"/>
    <s v="0006401332"/>
    <x v="1"/>
    <s v="GLOVIS INDIA PRIVATE LIMITED"/>
    <s v="0012448180"/>
    <s v="9840784888"/>
    <s v="Place of Business_x000a__x000a_109, GLOVIS INDIA PRIVATE LIMITED, MANNUR SRIPERUMBUDUR 602105"/>
    <s v="S3"/>
    <s v="CA1415/47 H CC"/>
    <x v="0"/>
    <s v="12T"/>
    <s v="MADURAVOYAL"/>
    <s v="AUTO PARTS"/>
    <s v="CDE141522C0003"/>
    <s v="MB1AYGCD7PRDP4224"/>
    <x v="0"/>
    <s v="0002303538"/>
    <d v="2023-11-07T00:00:00"/>
    <s v="3"/>
    <s v="0000945631"/>
    <d v="2023-11-07T00:00:00"/>
    <s v="3"/>
  </r>
  <r>
    <s v="Z002"/>
    <s v="SZ1"/>
    <s v="R010"/>
    <s v="CHENNAI"/>
    <s v="AO06"/>
    <s v="CHENNAI"/>
    <s v="S757"/>
    <x v="0"/>
    <s v="5512"/>
    <x v="4"/>
    <x v="3"/>
    <s v="BALAJI G"/>
    <s v="D67755121026"/>
    <s v="0009069193"/>
    <d v="2023-11-09T00:00:00"/>
    <s v="0006398504"/>
    <x v="1"/>
    <s v="GLOVIS INDIA PRIVATE LIMITED"/>
    <s v="0012448180"/>
    <s v="9840784888"/>
    <s v="Place of Business_x000a__x000a_109, GLOVIS INDIA PRIVATE LIMITED, MANNUR SRIPERUMBUDUR 602105"/>
    <s v="S3"/>
    <s v="CA1415/47 H CC"/>
    <x v="0"/>
    <s v="12T"/>
    <s v="MADURAVOYAL"/>
    <s v="AUTO PARTS"/>
    <s v="CDE141522C0003"/>
    <s v="MB1AYGCD3PRDP4222"/>
    <x v="0"/>
    <s v="0002303538"/>
    <d v="2023-11-07T00:00:00"/>
    <s v="3"/>
    <s v="0000945631"/>
    <d v="2023-11-07T00:00:00"/>
    <s v="3"/>
  </r>
  <r>
    <s v="Z002"/>
    <s v="SZ1"/>
    <s v="R010"/>
    <s v="CHENNAI"/>
    <s v="AO06"/>
    <s v="CHENNAI"/>
    <s v="S757"/>
    <x v="0"/>
    <s v="5512"/>
    <x v="4"/>
    <x v="3"/>
    <s v="BALAJI G"/>
    <s v="D67755121026"/>
    <s v="0009069193"/>
    <d v="2023-11-09T00:00:00"/>
    <s v="0006400698"/>
    <x v="1"/>
    <s v="GLOVIS INDIA PRIVATE LIMITED"/>
    <s v="0012448180"/>
    <s v="9840784888"/>
    <s v="Place of Business_x000a__x000a_109, GLOVIS INDIA PRIVATE LIMITED, MANNUR SRIPERUMBUDUR 602105"/>
    <s v="S3"/>
    <s v="CA1415/47 H CC"/>
    <x v="0"/>
    <s v="12T"/>
    <s v="MADURAVOYAL"/>
    <s v="AUTO PARTS"/>
    <s v="CDE141522C0003"/>
    <s v="MB1AYGCDXPRDP4220"/>
    <x v="0"/>
    <s v="0002303538"/>
    <d v="2023-11-07T00:00:00"/>
    <s v="3"/>
    <s v="0000945631"/>
    <d v="2023-11-07T00:00:00"/>
    <s v="3"/>
  </r>
  <r>
    <s v="Z002"/>
    <s v="SZ1"/>
    <s v="R010"/>
    <s v="CHENNAI"/>
    <s v="AO06"/>
    <s v="CHENNAI"/>
    <s v="S757"/>
    <x v="0"/>
    <s v="5512"/>
    <x v="4"/>
    <x v="3"/>
    <s v="BALAJI G"/>
    <s v="D67755121026"/>
    <s v="0009069193"/>
    <d v="2023-11-09T00:00:00"/>
    <s v="0006400698"/>
    <x v="0"/>
    <s v="GLOVIS INDIA PRIVATE LIMITED"/>
    <s v="0012448180"/>
    <s v="9840784888"/>
    <s v="Place of Business_x000a__x000a_109, GLOVIS INDIA PRIVATE LIMITED, MANNUR SRIPERUMBUDUR 602105"/>
    <s v="S3"/>
    <s v="CA1415/47 H CC"/>
    <x v="0"/>
    <s v="12T"/>
    <s v="MADURAVOYAL"/>
    <s v="AUTO PARTS"/>
    <s v="CDE141522C0003"/>
    <s v="MB1AYGCDXPRDP4220"/>
    <x v="0"/>
    <s v="0002303538"/>
    <d v="2023-11-07T00:00:00"/>
    <s v="3"/>
    <s v="0000945631"/>
    <d v="2023-11-07T00:00:00"/>
    <s v="3"/>
  </r>
  <r>
    <s v="Z002"/>
    <s v="SZ1"/>
    <s v="R010"/>
    <s v="CHENNAI"/>
    <s v="AO06"/>
    <s v="CHENNAI"/>
    <s v="S757"/>
    <x v="0"/>
    <s v="5522"/>
    <x v="2"/>
    <x v="8"/>
    <s v="KARTHIKEYAN B"/>
    <s v="D67755221013"/>
    <s v="0009065121"/>
    <d v="2023-11-09T00:00:00"/>
    <s v="0006397819"/>
    <x v="0"/>
    <s v="EYYALUR PRIMARY AGRICULTURAL CO OPERATIVE CREDIT SOCIETY LTD(E2723)"/>
    <s v="0012563127"/>
    <s v="9965098133"/>
    <s v="Eyyalur Cuddalore Kattumannar koil 608301"/>
    <s v="S2"/>
    <s v="CA1615/42 H FBL"/>
    <x v="0"/>
    <s v="15T"/>
    <s v="VIRUDHACHALAM"/>
    <s v="FOOD GRAINS"/>
    <s v="CDE161520H0007"/>
    <s v="MB1A3GCD6PEEL7934"/>
    <x v="0"/>
    <s v="0002298338"/>
    <d v="2023-11-01T00:00:00"/>
    <s v="1"/>
    <s v="0000945793"/>
    <d v="2023-11-08T00:00:00"/>
    <s v="1"/>
  </r>
  <r>
    <s v="Z002"/>
    <s v="SZ1"/>
    <s v="R010"/>
    <s v="CHENNAI"/>
    <s v="AO06"/>
    <s v="CHENNAI"/>
    <s v="S757"/>
    <x v="0"/>
    <s v="5522"/>
    <x v="2"/>
    <x v="8"/>
    <s v="KARTHIKEYAN B"/>
    <s v="D67755221013"/>
    <s v="0009065121"/>
    <d v="2023-11-09T00:00:00"/>
    <s v="0006397819"/>
    <x v="1"/>
    <s v="EYYALUR PRIMARY AGRICULTURAL CO OPERATIVE CREDIT SOCIETY LTD(E2723)"/>
    <s v="0012563127"/>
    <s v="9965098133"/>
    <s v="Eyyalur Cuddalore Kattumannar koil 608301"/>
    <s v="S2"/>
    <s v="CA1615/42 H FBL"/>
    <x v="0"/>
    <s v="15T"/>
    <s v="VIRUDHACHALAM"/>
    <s v="FOOD GRAINS"/>
    <s v="CDE161520H0007"/>
    <s v="MB1A3GCD6PEEL7934"/>
    <x v="0"/>
    <s v="0002298338"/>
    <d v="2023-11-01T00:00:00"/>
    <s v="1"/>
    <s v="0000945793"/>
    <d v="2023-11-08T00:00:00"/>
    <s v="1"/>
  </r>
  <r>
    <s v="Z002"/>
    <s v="SZ1"/>
    <s v="R010"/>
    <s v="CHENNAI"/>
    <s v="AO06"/>
    <s v="CHENNAI"/>
    <s v="S757"/>
    <x v="0"/>
    <s v="5512"/>
    <x v="4"/>
    <x v="3"/>
    <s v="BALAJI G"/>
    <s v="D67755121026"/>
    <s v="0009069193"/>
    <d v="2023-11-09T00:00:00"/>
    <s v="1000253070"/>
    <x v="2"/>
    <s v="GLOVIS INDIA PRIVATE LIMITED"/>
    <s v="0012448180"/>
    <s v="9840784888"/>
    <s v="Place of Business_x000a__x000a_109, GLOVIS INDIA PRIVATE LIMITED, MANNUR SRIPERUMBUDUR 602105"/>
    <s v="S3"/>
    <s v="CA1415/47 H CC"/>
    <x v="0"/>
    <s v="12T"/>
    <s v="MADURAVOYAL"/>
    <s v="MARKET LOAD"/>
    <s v="CDE141522C0003"/>
    <s v="MB1AYGCDXPRDP4220"/>
    <x v="1"/>
    <s v="0002298395"/>
    <d v="2023-11-02T00:00:00"/>
    <s v="3"/>
    <s v="0000943037"/>
    <d v="2023-11-02T00:00:00"/>
    <s v="3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9T00:00:00"/>
    <s v="1000202182"/>
    <x v="2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5PREN5835"/>
    <x v="1"/>
    <s v="0002298394"/>
    <d v="2023-11-02T00:00:00"/>
    <s v="5"/>
    <s v="0000940508"/>
    <d v="2023-11-02T00:00:00"/>
    <s v="5"/>
  </r>
  <r>
    <s v="Z002"/>
    <s v="SZ1"/>
    <s v="R010"/>
    <s v="CHENNAI"/>
    <s v="AO06"/>
    <s v="CHENNAI"/>
    <s v="S757"/>
    <x v="0"/>
    <s v="5512"/>
    <x v="4"/>
    <x v="3"/>
    <s v="SAI PRASAD H"/>
    <s v="D67755121017"/>
    <s v="0009056071"/>
    <d v="2023-11-09T00:00:00"/>
    <s v="1000253069"/>
    <x v="2"/>
    <s v="GLOVIS INDIA PRIVATE LIMITED"/>
    <s v="0012448180"/>
    <s v="9840784888"/>
    <s v="Place of Business_x000a__x000a_109, GLOVIS INDIA PRIVATE LIMITED, MANNUR SRIPERUMBUDUR 602105"/>
    <s v="S3"/>
    <s v="CA1615/52 H CC"/>
    <x v="0"/>
    <s v="15T"/>
    <s v="KANCHEEPURAM"/>
    <s v="MARKET LOAD"/>
    <s v="CDE161524C0002"/>
    <s v="MB1A3GCD3PREN6434"/>
    <x v="1"/>
    <s v="0002298394"/>
    <d v="2023-11-02T00:00:00"/>
    <s v="5"/>
    <s v="0000940508"/>
    <d v="2023-11-02T00:00:00"/>
    <s v="5"/>
  </r>
  <r>
    <s v="Z002"/>
    <s v="SZ1"/>
    <s v="R010"/>
    <s v="CHENNAI"/>
    <s v="AO06"/>
    <s v="CHENNAI"/>
    <s v="S757"/>
    <x v="0"/>
    <s v="5510"/>
    <x v="3"/>
    <x v="2"/>
    <s v="KARTHIKEYAN K"/>
    <s v="D67755101004"/>
    <s v="0009056058"/>
    <d v="2023-11-09T00:00:00"/>
    <s v="0006400676"/>
    <x v="1"/>
    <s v="T EKAMBARAM"/>
    <s v="0012569187"/>
    <s v="8248912535"/>
    <s v="No.124/13C, Borax Nagar, Peravallur, Ponneri, Thiruvallur, T THIRUVALLUR 601204"/>
    <s v="S2"/>
    <s v="UJ3525/52 T TIP"/>
    <x v="1"/>
    <s v="8X4 TIPPER"/>
    <s v="GUMMIDIPOONDI"/>
    <s v="BLUE METAL"/>
    <s v="CTU352523B0007"/>
    <s v="MB1JJLHD4PRFM5498"/>
    <x v="0"/>
    <s v="0002304032"/>
    <d v="2023-11-08T00:00:00"/>
    <s v="1"/>
    <s v="0000945686"/>
    <d v="2023-11-09T00:00:00"/>
    <s v="1"/>
  </r>
  <r>
    <s v="Z002"/>
    <s v="SZ1"/>
    <s v="R010"/>
    <s v="CHENNAI"/>
    <s v="AO06"/>
    <s v="CHENNAI"/>
    <s v="S757"/>
    <x v="0"/>
    <s v="5522"/>
    <x v="2"/>
    <x v="8"/>
    <s v="KARTHIKEYAN B"/>
    <s v="D67755221013"/>
    <s v="0009065121"/>
    <d v="2023-11-10T00:00:00"/>
    <s v="0006406142"/>
    <x v="1"/>
    <s v="S.PRASATH"/>
    <s v="0011844802"/>
    <s v="8056963876"/>
    <s v="S/o Soundararajan, D.No:5/4-31/1, Indira Nagar, Karuppur, Om Omalur 636012"/>
    <s v="S2"/>
    <s v="PA1215/45 H CC"/>
    <x v="0"/>
    <s v="12T"/>
    <s v="VILLUPURAM"/>
    <s v="PARCEL LOADS"/>
    <s v="CDB121520C0002"/>
    <s v="MB1AUPCC7PEFL6041"/>
    <x v="0"/>
    <s v="0002305417"/>
    <d v="2023-11-09T00:00:00"/>
    <s v="1"/>
    <s v="0000946164"/>
    <d v="2023-11-10T00:00:00"/>
    <s v="1"/>
  </r>
  <r>
    <s v="Z002"/>
    <s v="SZ1"/>
    <s v="R010"/>
    <s v="CHENNAI"/>
    <s v="AO06"/>
    <s v="CHENNAI"/>
    <s v="S757"/>
    <x v="0"/>
    <s v="5514"/>
    <x v="6"/>
    <x v="7"/>
    <s v="T RAMESH BABU"/>
    <s v="D67755141002"/>
    <s v="0009056047"/>
    <d v="2023-11-10T00:00:00"/>
    <s v="0006408477"/>
    <x v="1"/>
    <s v="ABISHA MICHEAL"/>
    <s v="0012561475"/>
    <s v="8569743215"/>
    <s v="No.19, Kovil St, Kamarajapuram, Ankaputhur Chennai 600070"/>
    <s v="S3"/>
    <s v="UJ3525/52 T TIP"/>
    <x v="1"/>
    <s v="8X4 TIPPER"/>
    <s v="TAMBARAM"/>
    <s v="BLUE METAL"/>
    <s v="CTU352523B0007"/>
    <s v="MB1JJLHD0PRFM6454"/>
    <x v="0"/>
    <s v="0002306647"/>
    <d v="2023-11-10T00:00:00"/>
    <s v="2"/>
    <s v="0000946332"/>
    <d v="2023-11-10T00:00:00"/>
    <s v="1"/>
  </r>
  <r>
    <s v="Z002"/>
    <s v="SZ1"/>
    <s v="R010"/>
    <s v="CHENNAI"/>
    <s v="AO06"/>
    <s v="CHENNAI"/>
    <s v="S757"/>
    <x v="0"/>
    <s v="5522"/>
    <x v="2"/>
    <x v="8"/>
    <s v="KARTHIKEYAN B"/>
    <s v="D67755221013"/>
    <s v="0009065121"/>
    <d v="2023-11-10T00:00:00"/>
    <s v="0006406142"/>
    <x v="0"/>
    <s v="S.PRASATH"/>
    <s v="0011844802"/>
    <s v="8056963876"/>
    <s v="S/o Soundararajan, D.No:5/4-31/1, Indira Nagar, Karuppur, Om Omalur 636012"/>
    <s v="S2"/>
    <s v="PA1215/45 H CC"/>
    <x v="0"/>
    <s v="12T"/>
    <s v="VILLUPURAM"/>
    <s v="PARCEL LOADS"/>
    <s v="CDB121520C0002"/>
    <s v="MB1AUPCC7PEFL6041"/>
    <x v="0"/>
    <s v="0002305417"/>
    <d v="2023-11-09T00:00:00"/>
    <s v="1"/>
    <s v="0000946164"/>
    <d v="2023-11-10T00:00:00"/>
    <s v="1"/>
  </r>
  <r>
    <s v="Z002"/>
    <s v="SZ1"/>
    <s v="R010"/>
    <s v="CHENNAI"/>
    <s v="AO06"/>
    <s v="CHENNAI"/>
    <s v="S757"/>
    <x v="0"/>
    <s v="5514"/>
    <x v="6"/>
    <x v="7"/>
    <s v="T RAMESH BABU"/>
    <s v="D67755141002"/>
    <s v="0009056047"/>
    <d v="2023-11-10T00:00:00"/>
    <s v="0006402356"/>
    <x v="1"/>
    <s v="ABISHA MICHEAL"/>
    <s v="0012561475"/>
    <s v="8569743215"/>
    <s v="No.19, Kovil St, Kamarajapuram, Ankaputhur Chennai 600070"/>
    <s v="S3"/>
    <s v="UJ3525/52 T TIP"/>
    <x v="1"/>
    <s v="8X4 TIPPER"/>
    <s v="TAMBARAM"/>
    <s v="BLUE METAL"/>
    <s v="CTU352523B0007"/>
    <s v="MB1JJLHD4PRFM8384"/>
    <x v="0"/>
    <s v="0002306647"/>
    <d v="2023-11-10T00:00:00"/>
    <s v="2"/>
    <s v="0000946190"/>
    <d v="2023-11-10T00:00:00"/>
    <s v="1"/>
  </r>
  <r>
    <s v="Z002"/>
    <s v="SZ1"/>
    <s v="R010"/>
    <s v="CHENNAI"/>
    <s v="AO06"/>
    <s v="CHENNAI"/>
    <s v="S757"/>
    <x v="0"/>
    <s v="5514"/>
    <x v="6"/>
    <x v="7"/>
    <s v="T RAMESH BABU"/>
    <s v="D67755141002"/>
    <s v="0009056047"/>
    <d v="2023-11-10T00:00:00"/>
    <s v="0006402356"/>
    <x v="0"/>
    <s v="ABISHA MICHEAL"/>
    <s v="0012561475"/>
    <s v="8569743215"/>
    <s v="No.19, Kovil St, Kamarajapuram, Ankaputhur Chennai 600070"/>
    <s v="S3"/>
    <s v="UJ3525/52 T TIP"/>
    <x v="1"/>
    <s v="8X4 TIPPER"/>
    <s v="TAMBARAM"/>
    <s v="BLUE METAL"/>
    <s v="CTU352523B0007"/>
    <s v="MB1JJLHD4PRFM8384"/>
    <x v="0"/>
    <s v="0002306647"/>
    <d v="2023-11-10T00:00:00"/>
    <s v="2"/>
    <s v="0000946190"/>
    <d v="2023-11-10T00:00:00"/>
    <s v="1"/>
  </r>
  <r>
    <s v="Z002"/>
    <s v="SZ1"/>
    <s v="R010"/>
    <s v="CHENNAI"/>
    <s v="AO06"/>
    <s v="CHENNAI"/>
    <s v="S757"/>
    <x v="0"/>
    <s v="5514"/>
    <x v="6"/>
    <x v="7"/>
    <s v="T RAMESH BABU"/>
    <s v="D67755141002"/>
    <s v="0009056047"/>
    <d v="2023-11-10T00:00:00"/>
    <s v="0006408477"/>
    <x v="0"/>
    <s v="ABISHA MICHEAL"/>
    <s v="0012561475"/>
    <s v="8569743215"/>
    <s v="No.19, Kovil St, Kamarajapuram, Ankaputhur Chennai 600070"/>
    <s v="S3"/>
    <s v="UJ3525/52 T TIP"/>
    <x v="1"/>
    <s v="8X4 TIPPER"/>
    <s v="TAMBARAM"/>
    <s v="BLUE METAL"/>
    <s v="CTU352523B0007"/>
    <s v="MB1JJLHD0PRFM6454"/>
    <x v="0"/>
    <s v="0002306647"/>
    <d v="2023-11-10T00:00:00"/>
    <s v="2"/>
    <s v="0000946332"/>
    <d v="2023-11-10T00:00:00"/>
    <s v="1"/>
  </r>
  <r>
    <s v="Z002"/>
    <s v="SZ1"/>
    <s v="R010"/>
    <s v="CHENNAI"/>
    <s v="AO06"/>
    <s v="CHENNAI"/>
    <s v="S757"/>
    <x v="0"/>
    <s v="5520"/>
    <x v="0"/>
    <x v="5"/>
    <s v="BASKAR S"/>
    <s v="D67755201005"/>
    <s v="0009056081"/>
    <d v="2023-11-10T00:00:00"/>
    <s v="0006401612"/>
    <x v="1"/>
    <s v="SATHISH KUMAR.C"/>
    <s v="0001988805"/>
    <s v="9789813883"/>
    <s v="S/O K.CHANDRAN #17/1 SEMPALLI ROAD PERUMPADI VILL VELLORE DIST 632602"/>
    <s v="S2"/>
    <s v="GM4220/66 H CO"/>
    <x v="2"/>
    <s v="10X2 MAV"/>
    <s v="VELLORE LOCAL"/>
    <s v="MARKET LOAD"/>
    <s v="CHC422030C0008"/>
    <s v="MB1NGCHD7PRGL7544"/>
    <x v="0"/>
    <s v="0002300704"/>
    <d v="2023-11-04T00:00:00"/>
    <s v="2"/>
    <s v="0000945885"/>
    <d v="2023-11-09T00:00:00"/>
    <s v="2"/>
  </r>
  <r>
    <s v="Z002"/>
    <s v="SZ1"/>
    <s v="R010"/>
    <s v="CHENNAI"/>
    <s v="AO06"/>
    <s v="CHENNAI"/>
    <s v="S757"/>
    <x v="0"/>
    <s v="5520"/>
    <x v="0"/>
    <x v="5"/>
    <s v="BASKAR S"/>
    <s v="D67755201005"/>
    <s v="0009056081"/>
    <d v="2023-11-10T00:00:00"/>
    <s v="0006401612"/>
    <x v="0"/>
    <s v="SATHISH KUMAR.C"/>
    <s v="0001988805"/>
    <s v="9789813883"/>
    <s v="S/O K.CHANDRAN #17/1 SEMPALLI ROAD PERUMPADI VILL VELLORE DIST 632602"/>
    <s v="S2"/>
    <s v="GM4220/66 H CO"/>
    <x v="2"/>
    <s v="10X2 MAV"/>
    <s v="VELLORE LOCAL"/>
    <s v="MARKET LOAD"/>
    <s v="CHC422030C0008"/>
    <s v="MB1NGCHD7PRGL7544"/>
    <x v="0"/>
    <s v="0002300704"/>
    <d v="2023-11-04T00:00:00"/>
    <s v="2"/>
    <s v="0000945885"/>
    <d v="2023-11-09T00:00:00"/>
    <s v="2"/>
  </r>
  <r>
    <s v="Z002"/>
    <s v="SZ1"/>
    <s v="R010"/>
    <s v="CHENNAI"/>
    <s v="AO06"/>
    <s v="CHENNAI"/>
    <s v="S757"/>
    <x v="0"/>
    <s v="5520"/>
    <x v="0"/>
    <x v="5"/>
    <s v="BASKAR S"/>
    <s v="D67755201005"/>
    <s v="0009056081"/>
    <d v="2023-11-10T00:00:00"/>
    <s v="0006406851"/>
    <x v="0"/>
    <s v="SATHISH KUMAR.C"/>
    <s v="0001988805"/>
    <s v="9789813883"/>
    <s v="S/O K.CHANDRAN #17/1 SEMPALLI ROAD PERUMPADI VILL VELLORE DIST 632602"/>
    <s v="S2"/>
    <s v="GM4220/66 H CO"/>
    <x v="2"/>
    <s v="10X2 MAV"/>
    <s v="VELLORE LOCAL"/>
    <s v="MARKET LOAD"/>
    <s v="CHC422030C0008"/>
    <s v="MB1NGCHD9PRFM1351"/>
    <x v="0"/>
    <s v="0002300704"/>
    <d v="2023-11-04T00:00:00"/>
    <s v="2"/>
    <s v="0000945885"/>
    <d v="2023-11-09T00:00:00"/>
    <s v="2"/>
  </r>
  <r>
    <s v="Z002"/>
    <s v="SZ1"/>
    <s v="R010"/>
    <s v="CHENNAI"/>
    <s v="AO06"/>
    <s v="CHENNAI"/>
    <s v="S757"/>
    <x v="0"/>
    <s v="5520"/>
    <x v="0"/>
    <x v="5"/>
    <s v="BASKAR S"/>
    <s v="D67755201005"/>
    <s v="0009056081"/>
    <d v="2023-11-10T00:00:00"/>
    <s v="0006406851"/>
    <x v="1"/>
    <s v="SATHISH KUMAR.C"/>
    <s v="0001988805"/>
    <s v="9789813883"/>
    <s v="S/O K.CHANDRAN #17/1 SEMPALLI ROAD PERUMPADI VILL VELLORE DIST 632602"/>
    <s v="S2"/>
    <s v="GM4220/66 H CO"/>
    <x v="2"/>
    <s v="10X2 MAV"/>
    <s v="VELLORE LOCAL"/>
    <s v="MARKET LOAD"/>
    <s v="CHC422030C0008"/>
    <s v="MB1NGCHD9PRFM1351"/>
    <x v="0"/>
    <s v="0002300704"/>
    <d v="2023-11-04T00:00:00"/>
    <s v="2"/>
    <s v="0000945885"/>
    <d v="2023-11-09T00:00:00"/>
    <s v="2"/>
  </r>
  <r>
    <s v="Z002"/>
    <s v="SZ1"/>
    <s v="R010"/>
    <s v="CHENNAI"/>
    <s v="AO06"/>
    <s v="CHENNAI"/>
    <s v="S757"/>
    <x v="0"/>
    <s v="5512"/>
    <x v="4"/>
    <x v="3"/>
    <s v="UMAPATHI C"/>
    <s v="D67755121012"/>
    <s v="0009056066"/>
    <d v="2023-11-10T00:00:00"/>
    <s v="0006405838"/>
    <x v="0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XPRCP8764"/>
    <x v="0"/>
    <s v="0002304417"/>
    <d v="2023-11-08T00:00:00"/>
    <s v="3"/>
    <s v="0000945466"/>
    <d v="2023-11-08T00:00:00"/>
    <s v="3"/>
  </r>
  <r>
    <s v="Z002"/>
    <s v="SZ1"/>
    <s v="R010"/>
    <s v="CHENNAI"/>
    <s v="AO06"/>
    <s v="CHENNAI"/>
    <s v="S757"/>
    <x v="0"/>
    <s v="5512"/>
    <x v="4"/>
    <x v="3"/>
    <s v="UMAPATHI C"/>
    <s v="D67755121012"/>
    <s v="0009056066"/>
    <d v="2023-11-10T00:00:00"/>
    <s v="0006405838"/>
    <x v="1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XPRCP8764"/>
    <x v="0"/>
    <s v="0002304417"/>
    <d v="2023-11-08T00:00:00"/>
    <s v="3"/>
    <s v="0000945466"/>
    <d v="2023-11-08T00:00:00"/>
    <s v="3"/>
  </r>
  <r>
    <s v="Z002"/>
    <s v="SZ1"/>
    <s v="R010"/>
    <s v="CHENNAI"/>
    <s v="AO06"/>
    <s v="CHENNAI"/>
    <s v="S757"/>
    <x v="0"/>
    <s v="5512"/>
    <x v="4"/>
    <x v="3"/>
    <s v="UMAPATHI C"/>
    <s v="D67755121012"/>
    <s v="0009056066"/>
    <d v="2023-11-10T00:00:00"/>
    <s v="0006407323"/>
    <x v="0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0PRCP8756"/>
    <x v="0"/>
    <s v="0002304417"/>
    <d v="2023-11-08T00:00:00"/>
    <s v="3"/>
    <s v="0000945466"/>
    <d v="2023-11-08T00:00:00"/>
    <s v="3"/>
  </r>
  <r>
    <s v="Z002"/>
    <s v="SZ1"/>
    <s v="R010"/>
    <s v="CHENNAI"/>
    <s v="AO06"/>
    <s v="CHENNAI"/>
    <s v="S757"/>
    <x v="0"/>
    <s v="5512"/>
    <x v="4"/>
    <x v="3"/>
    <s v="UMAPATHI C"/>
    <s v="D67755121012"/>
    <s v="0009056066"/>
    <d v="2023-11-10T00:00:00"/>
    <s v="0006407323"/>
    <x v="1"/>
    <s v="GLOVIS INDIA PRIVATE LIMITED"/>
    <s v="0012448180"/>
    <s v="9840784888"/>
    <s v="Place of Business_x000a__x000a_109, GLOVIS INDIA PRIVATE LIMITED, MANNUR SRIPERUMBUDUR 602105"/>
    <s v="S2"/>
    <s v="CA1615/52 H CC"/>
    <x v="0"/>
    <s v="15T"/>
    <s v="MADURAVOYAL"/>
    <s v="AUTO PARTS"/>
    <s v="CDE161524C0002"/>
    <s v="MB1A3GCD0PRCP8756"/>
    <x v="0"/>
    <s v="0002304417"/>
    <d v="2023-11-08T00:00:00"/>
    <s v="3"/>
    <s v="0000945466"/>
    <d v="2023-11-08T00:00:00"/>
    <s v="3"/>
  </r>
  <r>
    <s v="Z002"/>
    <s v="SZ1"/>
    <s v="R010"/>
    <s v="CHENNAI"/>
    <s v="AO06"/>
    <s v="CHENNAI"/>
    <s v="S757"/>
    <x v="0"/>
    <s v="5520"/>
    <x v="0"/>
    <x v="5"/>
    <s v="BASKAR S"/>
    <s v="D67755201005"/>
    <s v="0009056081"/>
    <d v="2023-11-10T00:00:00"/>
    <s v="1000247010"/>
    <x v="2"/>
    <s v="ABDUL KAREEM H"/>
    <s v="0011171350"/>
    <s v="7010270103"/>
    <s v="S/O ABDUL HAMEED NO.62 NEW N0.140 Vellore 632004"/>
    <s v="S3"/>
    <s v="VK2011.4T6R"/>
    <x v="3"/>
    <s v="MCV BUS"/>
    <s v="VELLORE LOCAL"/>
    <s v="TOURIST BUS"/>
    <s v="CCV20114D00048"/>
    <s v="MB1PBEHD0PEEL8202"/>
    <x v="1"/>
    <s v="0002298315"/>
    <d v="2023-11-01T00:00:00"/>
    <s v="1"/>
    <s v="0000944861"/>
    <d v="2023-11-01T00:00:00"/>
    <s v="1"/>
  </r>
  <r>
    <s v="Z002"/>
    <s v="SZ1"/>
    <s v="R010"/>
    <s v="CHENNAI"/>
    <s v="AO06"/>
    <s v="CHENNAI"/>
    <s v="S757"/>
    <x v="0"/>
    <s v="5514"/>
    <x v="6"/>
    <x v="7"/>
    <s v="T RAMESH BABU"/>
    <s v="D67755141002"/>
    <s v="0009056047"/>
    <d v="2023-11-10T00:00:00"/>
    <s v="1000253348"/>
    <x v="2"/>
    <s v="ABISHA MICHEAL"/>
    <s v="0012561475"/>
    <s v="8569743215"/>
    <s v="No.19, Kovil St, Kamarajapuram, Ankaputhur Chennai 600070"/>
    <s v="S3"/>
    <s v="UJ3525/52 T TIP"/>
    <x v="1"/>
    <s v="8X4 TIPPER"/>
    <s v="TAMBARAM"/>
    <s v="BLUE METAL"/>
    <s v="CTU352523B0007"/>
    <s v="MB1JJLHD4PRFM8384"/>
    <x v="1"/>
    <s v="0002295985"/>
    <d v="2023-10-31T00:00:00"/>
    <s v="2"/>
    <s v="0000943119"/>
    <d v="2023-10-31T00:00:00"/>
    <s v="1"/>
  </r>
  <r>
    <s v="Z002"/>
    <s v="SZ1"/>
    <s v="R010"/>
    <s v="CHENNAI"/>
    <s v="AO06"/>
    <s v="CHENNAI"/>
    <s v="S757"/>
    <x v="0"/>
    <s v="5514"/>
    <x v="6"/>
    <x v="7"/>
    <s v="T RAMESH BABU"/>
    <s v="D67755141002"/>
    <s v="0009056047"/>
    <d v="2023-11-10T00:00:00"/>
    <s v="1000250883"/>
    <x v="2"/>
    <s v="ABISHA MICHEAL"/>
    <s v="0012561475"/>
    <s v="8569743215"/>
    <s v="No.19, Kovil St, Kamarajapuram, Ankaputhur Chennai 600070"/>
    <s v="S3"/>
    <s v="UJ3525/52 T TIP"/>
    <x v="1"/>
    <s v="8X4 TIPPER"/>
    <s v="TAMBARAM"/>
    <s v="BLUE METAL"/>
    <s v="CTU352523B0007"/>
    <s v="MB1JJLHD0PRFM6454"/>
    <x v="1"/>
    <s v="0002295985"/>
    <d v="2023-10-31T00:00:00"/>
    <s v="2"/>
    <s v="0000943651"/>
    <d v="2023-10-31T00:00:00"/>
    <s v="1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14T00:00:00"/>
    <s v="0006416484"/>
    <x v="0"/>
    <s v="CONCRETE OEM PRIVATE LIMITED"/>
    <s v="0011489167"/>
    <s v="9384838384"/>
    <s v="SF No.186 and 188, Concrete OEM Private Limited, Erikarai Ro Chennai 600069"/>
    <s v="S2"/>
    <s v="UE2820/39 R RMC"/>
    <x v="1"/>
    <s v="6X4 TIPPER"/>
    <s v="KANCHEEPURAM"/>
    <s v="RMC"/>
    <s v="CHU2820S07NM01"/>
    <s v="MB1H3LHD4PRJK1812"/>
    <x v="0"/>
    <s v="0002308436"/>
    <d v="2023-11-14T00:00:00"/>
    <s v="6"/>
    <s v="0000946953"/>
    <d v="2023-11-14T00:00:00"/>
    <s v="6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14T00:00:00"/>
    <s v="0006416484"/>
    <x v="1"/>
    <s v="CONCRETE OEM PRIVATE LIMITED"/>
    <s v="0011489167"/>
    <s v="9384838384"/>
    <s v="SF No.186 and 188, Concrete OEM Private Limited, Erikarai Ro Chennai 600069"/>
    <s v="S2"/>
    <s v="UE2820/39 R RMC"/>
    <x v="1"/>
    <s v="6X4 TIPPER"/>
    <s v="KANCHEEPURAM"/>
    <s v="RMC"/>
    <s v="CHU2820S07NM01"/>
    <s v="MB1H3LHD4PRJK1812"/>
    <x v="0"/>
    <s v="0002308436"/>
    <d v="2023-11-14T00:00:00"/>
    <s v="6"/>
    <s v="0000946953"/>
    <d v="2023-11-14T00:00:00"/>
    <s v="6"/>
  </r>
  <r>
    <s v="Z002"/>
    <s v="SZ1"/>
    <s v="R010"/>
    <s v="CHENNAI"/>
    <s v="AO06"/>
    <s v="CHENNAI"/>
    <s v="S757"/>
    <x v="0"/>
    <s v="5520"/>
    <x v="0"/>
    <x v="0"/>
    <s v="NANDHAKUMAR G"/>
    <s v="D67755201008"/>
    <s v="0009056084"/>
    <d v="2023-11-14T00:00:00"/>
    <s v="0006418831"/>
    <x v="0"/>
    <s v="D.KRISHNASARATHI"/>
    <s v="0011772689"/>
    <s v="9361721242"/>
    <s v="S/O,DHAMODHARAN,35,BAJANAI KOVIL STREET,EDAPALAYAM,PADIYAMPA RANIPET 632513"/>
    <s v="S1"/>
    <s v="PA1215/45 H CC"/>
    <x v="0"/>
    <s v="12T"/>
    <s v="RANIPET"/>
    <s v="PARCEL LOADS"/>
    <s v="CDB121520C0002"/>
    <s v=""/>
    <x v="0"/>
    <s v="0002293484"/>
    <d v="2023-10-30T00:00:00"/>
    <s v="1"/>
    <s v="0000947093"/>
    <d v="2023-11-14T00:00:00"/>
    <s v="1"/>
  </r>
  <r>
    <s v="Z002"/>
    <s v="SZ1"/>
    <s v="R010"/>
    <s v="CHENNAI"/>
    <s v="AO06"/>
    <s v="CHENNAI"/>
    <s v="S757"/>
    <x v="0"/>
    <s v="5520"/>
    <x v="0"/>
    <x v="5"/>
    <s v="AKASH MUNUSAMY"/>
    <s v="D67755201016"/>
    <s v="0009070623"/>
    <d v="2023-11-14T00:00:00"/>
    <s v="0006418484"/>
    <x v="1"/>
    <s v="ARTHI T"/>
    <s v="0012564123"/>
    <s v="9943643943"/>
    <s v="19th MILESTONE AMIRTHI ROAD NSN TRADERS PERIYA CHITTERI VELL VELLORE 632002"/>
    <s v="S2"/>
    <s v="UJ3525/52 T TIP"/>
    <x v="1"/>
    <s v="8X4 TIPPER"/>
    <s v="VELLORE LOCAL"/>
    <s v="BLUE METAL"/>
    <s v="CTU352522B0007"/>
    <s v="MB1JJLHD0PPGX2356"/>
    <x v="0"/>
    <s v="0002299554"/>
    <d v="2023-11-03T00:00:00"/>
    <s v="1"/>
    <s v="0000947013"/>
    <d v="2023-11-14T00:00:00"/>
    <s v="1"/>
  </r>
  <r>
    <s v="Z002"/>
    <s v="SZ1"/>
    <s v="R010"/>
    <s v="CHENNAI"/>
    <s v="AO06"/>
    <s v="CHENNAI"/>
    <s v="S757"/>
    <x v="0"/>
    <s v="5520"/>
    <x v="0"/>
    <x v="5"/>
    <s v="AKASH MUNUSAMY"/>
    <s v="D67755201016"/>
    <s v="0009070623"/>
    <d v="2023-11-14T00:00:00"/>
    <s v="0006418484"/>
    <x v="0"/>
    <s v="ARTHI T"/>
    <s v="0012564123"/>
    <s v="9943643943"/>
    <s v="19th MILESTONE AMIRTHI ROAD NSN TRADERS PERIYA CHITTERI VELL VELLORE 632002"/>
    <s v="S2"/>
    <s v="UJ3525/52 T TIP"/>
    <x v="1"/>
    <s v="8X4 TIPPER"/>
    <s v="VELLORE LOCAL"/>
    <s v="BLUE METAL"/>
    <s v="CTU352522B0007"/>
    <s v="MB1JJLHD0PPGX2356"/>
    <x v="0"/>
    <s v="0002299554"/>
    <d v="2023-11-03T00:00:00"/>
    <s v="1"/>
    <s v="0000947013"/>
    <d v="2023-11-14T00:00:00"/>
    <s v="1"/>
  </r>
  <r>
    <s v="Z002"/>
    <s v="SZ1"/>
    <s v="R010"/>
    <s v="CHENNAI"/>
    <s v="AO06"/>
    <s v="CHENNAI"/>
    <s v="S757"/>
    <x v="0"/>
    <s v="5516"/>
    <x v="1"/>
    <x v="1"/>
    <s v="S THANIGAIVELAN"/>
    <s v="D67755161005"/>
    <s v="0009056075"/>
    <d v="2023-11-14T00:00:00"/>
    <s v="0006413966"/>
    <x v="1"/>
    <s v="R.VELMURUGAN"/>
    <s v="0012565203"/>
    <s v="9942751861"/>
    <s v="S/O.Ramakrishnan,No.4,Perumal Koil Street,Vizhuthiyur,Karaik Pondicherry 609607"/>
    <s v="S2"/>
    <s v="UE2825/39 T TIP"/>
    <x v="1"/>
    <s v="6X4 TIPPER"/>
    <s v="KARAIKAL"/>
    <s v="BLUE METAL"/>
    <s v="CTU282516B0002"/>
    <s v="MB1H3LHD3PRCP8671"/>
    <x v="0"/>
    <s v="0002300696"/>
    <d v="2023-11-04T00:00:00"/>
    <s v="1"/>
    <s v="0000944434"/>
    <d v="2023-11-08T00:00:00"/>
    <s v="1"/>
  </r>
  <r>
    <s v="Z002"/>
    <s v="SZ1"/>
    <s v="R010"/>
    <s v="CHENNAI"/>
    <s v="AO06"/>
    <s v="CHENNAI"/>
    <s v="S757"/>
    <x v="0"/>
    <s v="5516"/>
    <x v="1"/>
    <x v="1"/>
    <s v="S THANIGAIVELAN"/>
    <s v="D67755161005"/>
    <s v="0009056075"/>
    <d v="2023-11-14T00:00:00"/>
    <s v="0006413966"/>
    <x v="0"/>
    <s v="R.VELMURUGAN"/>
    <s v="0012565203"/>
    <s v="9942751861"/>
    <s v="S/O.Ramakrishnan,No.4,Perumal Koil Street,Vizhuthiyur,Karaik Pondicherry 609607"/>
    <s v="S2"/>
    <s v="UE2825/39 T TIP"/>
    <x v="1"/>
    <s v="6X4 TIPPER"/>
    <s v="KARAIKAL"/>
    <s v="BLUE METAL"/>
    <s v="CTU282516B0002"/>
    <s v="MB1H3LHD3PRCP8671"/>
    <x v="0"/>
    <s v="0002300696"/>
    <d v="2023-11-04T00:00:00"/>
    <s v="1"/>
    <s v="0000944434"/>
    <d v="2023-11-08T00:00:00"/>
    <s v="1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14T00:00:00"/>
    <s v="1000250480"/>
    <x v="2"/>
    <s v="YAMINI R"/>
    <s v="0012555446"/>
    <s v="8600598203"/>
    <s v="BAJANAI KOIL STREET,ARUMBAKKAM THIRUVALLUR 602021"/>
    <s v="S3"/>
    <s v="UJ3525/52 T TIP"/>
    <x v="1"/>
    <s v="8X4 TIPPER"/>
    <s v="THIRUVALLUR"/>
    <s v="BLUE METAL"/>
    <s v="CTU352522B0002"/>
    <s v="MB1JJLHD0PREN7077"/>
    <x v="1"/>
    <s v="0002296163"/>
    <d v="2023-10-31T00:00:00"/>
    <s v="1"/>
    <s v="0000942975"/>
    <d v="2023-10-31T00:00:00"/>
    <s v="1"/>
  </r>
  <r>
    <s v="Z002"/>
    <s v="SZ1"/>
    <s v="R010"/>
    <s v="CHENNAI"/>
    <s v="AO06"/>
    <s v="CHENNAI"/>
    <s v="S757"/>
    <x v="0"/>
    <s v="5510"/>
    <x v="3"/>
    <x v="2"/>
    <s v="KARTHIKEYAN K"/>
    <s v="D67755101004"/>
    <s v="0009056058"/>
    <d v="2023-11-14T00:00:00"/>
    <s v="1000234402"/>
    <x v="2"/>
    <s v="V.S.RAJESH KUMAR"/>
    <s v="0010264280"/>
    <s v="9894760003"/>
    <s v="NO;32,PERUMAL KOIL STREET,MEDHUR PO TIRUVALLUR 601204"/>
    <s v="S3"/>
    <s v="UJ3525/52 T TIP"/>
    <x v="1"/>
    <s v="8X4 TIPPER"/>
    <s v="GUMMIDIPOONDI"/>
    <s v="BLUE METAL"/>
    <s v="CTU352522B0007"/>
    <s v="MB1JJLHD7PPGX2371"/>
    <x v="1"/>
    <s v="0002273782"/>
    <d v="2023-09-12T00:00:00"/>
    <s v="2"/>
    <s v="0000940965"/>
    <d v="2023-10-29T00:00:00"/>
    <s v="1"/>
  </r>
  <r>
    <s v="Z002"/>
    <s v="SZ1"/>
    <s v="R010"/>
    <s v="CHENNAI"/>
    <s v="AO06"/>
    <s v="CHENNAI"/>
    <s v="S757"/>
    <x v="0"/>
    <s v="5516"/>
    <x v="1"/>
    <x v="10"/>
    <s v="GOWTHAM K"/>
    <s v="D67755161004"/>
    <s v="0009056074"/>
    <d v="2023-11-14T00:00:00"/>
    <s v="0006416716"/>
    <x v="1"/>
    <s v="GOPINATH"/>
    <s v="0012538887"/>
    <s v="9626843661"/>
    <s v="Sivasakthi nagar, Chinnakalipattu, Villupuram(Tk). Villupuram 605105"/>
    <s v="S2"/>
    <s v="PA1215/45 H CC"/>
    <x v="0"/>
    <s v="12T"/>
    <s v="PONDICHERY"/>
    <s v="PARCEL LOADS"/>
    <s v="CDB121520C0002"/>
    <s v="MB1AUPCC3PEFL6165"/>
    <x v="0"/>
    <s v="0002306593"/>
    <d v="2023-11-10T00:00:00"/>
    <s v="1"/>
    <s v="0000946442"/>
    <d v="2023-11-10T00:00:00"/>
    <s v="1"/>
  </r>
  <r>
    <s v="Z002"/>
    <s v="SZ1"/>
    <s v="R010"/>
    <s v="CHENNAI"/>
    <s v="AO06"/>
    <s v="CHENNAI"/>
    <s v="S757"/>
    <x v="0"/>
    <s v="5516"/>
    <x v="1"/>
    <x v="10"/>
    <s v="GOWTHAM K"/>
    <s v="D67755161004"/>
    <s v="0009056074"/>
    <d v="2023-11-14T00:00:00"/>
    <s v="0006416716"/>
    <x v="0"/>
    <s v="GOPINATH"/>
    <s v="0012538887"/>
    <s v="9626843661"/>
    <s v="Sivasakthi nagar, Chinnakalipattu, Villupuram(Tk). Villupuram 605105"/>
    <s v="S2"/>
    <s v="PA1215/45 H CC"/>
    <x v="0"/>
    <s v="12T"/>
    <s v="PONDICHERY"/>
    <s v="PARCEL LOADS"/>
    <s v="CDB121520C0002"/>
    <s v="MB1AUPCC3PEFL6165"/>
    <x v="0"/>
    <s v="0002306593"/>
    <d v="2023-11-10T00:00:00"/>
    <s v="1"/>
    <s v="0000946442"/>
    <d v="2023-11-10T00:00:00"/>
    <s v="1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14T00:00:00"/>
    <s v="0006416985"/>
    <x v="1"/>
    <s v="CONCRETE OEM PRIVATE LIMITED"/>
    <s v="0011489167"/>
    <s v="9384838384"/>
    <s v="SF No.186 and 188, Concrete OEM Private Limited, Erikarai Ro Chennai 600069"/>
    <s v="S2"/>
    <s v="UE2820/39 R RMC"/>
    <x v="1"/>
    <s v="6X4 TIPPER"/>
    <s v="KANCHEEPURAM"/>
    <s v="RMC"/>
    <s v="CHU2820S07NM01"/>
    <s v="MB1H3LHD1PRGM1002"/>
    <x v="0"/>
    <s v="0002308436"/>
    <d v="2023-11-14T00:00:00"/>
    <s v="6"/>
    <s v="0000946953"/>
    <d v="2023-11-14T00:00:00"/>
    <s v="6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14T00:00:00"/>
    <s v="0006416985"/>
    <x v="0"/>
    <s v="CONCRETE OEM PRIVATE LIMITED"/>
    <s v="0011489167"/>
    <s v="9384838384"/>
    <s v="SF No.186 and 188, Concrete OEM Private Limited, Erikarai Ro Chennai 600069"/>
    <s v="S2"/>
    <s v="UE2820/39 R RMC"/>
    <x v="1"/>
    <s v="6X4 TIPPER"/>
    <s v="KANCHEEPURAM"/>
    <s v="RMC"/>
    <s v="CHU2820S07NM01"/>
    <s v="MB1H3LHD1PRGM1002"/>
    <x v="0"/>
    <s v="0002308436"/>
    <d v="2023-11-14T00:00:00"/>
    <s v="6"/>
    <s v="0000946953"/>
    <d v="2023-11-14T00:00:00"/>
    <s v="6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14T00:00:00"/>
    <s v="0006416483"/>
    <x v="1"/>
    <s v="CONCRETE OEM PRIVATE LIMITED"/>
    <s v="0011489167"/>
    <s v="9384838384"/>
    <s v="SF No.186 and 188, Concrete OEM Private Limited, Erikarai Ro Chennai 600069"/>
    <s v="S2"/>
    <s v="UE2820/39 R RMC"/>
    <x v="1"/>
    <s v="6X4 TIPPER"/>
    <s v="KANCHEEPURAM"/>
    <s v="RMC"/>
    <s v="CHU2820S07NM01"/>
    <s v="MB1H3LHD7PRJK3568"/>
    <x v="0"/>
    <s v="0002308436"/>
    <d v="2023-11-14T00:00:00"/>
    <s v="6"/>
    <s v="0000946953"/>
    <d v="2023-11-14T00:00:00"/>
    <s v="6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14T00:00:00"/>
    <s v="0006416483"/>
    <x v="0"/>
    <s v="CONCRETE OEM PRIVATE LIMITED"/>
    <s v="0011489167"/>
    <s v="9384838384"/>
    <s v="SF No.186 and 188, Concrete OEM Private Limited, Erikarai Ro Chennai 600069"/>
    <s v="S2"/>
    <s v="UE2820/39 R RMC"/>
    <x v="1"/>
    <s v="6X4 TIPPER"/>
    <s v="KANCHEEPURAM"/>
    <s v="RMC"/>
    <s v="CHU2820S07NM01"/>
    <s v="MB1H3LHD7PRJK3568"/>
    <x v="0"/>
    <s v="0002308436"/>
    <d v="2023-11-14T00:00:00"/>
    <s v="6"/>
    <s v="0000946953"/>
    <d v="2023-11-14T00:00:00"/>
    <s v="6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14T00:00:00"/>
    <s v="0006416739"/>
    <x v="1"/>
    <s v="CONCRETE OEM PRIVATE LIMITED"/>
    <s v="0011489167"/>
    <s v="9384838384"/>
    <s v="SF No.186 and 188, Concrete OEM Private Limited, Erikarai Ro Chennai 600069"/>
    <s v="S2"/>
    <s v="UE2820/39 R RMC"/>
    <x v="1"/>
    <s v="6X4 TIPPER"/>
    <s v="KANCHEEPURAM"/>
    <s v="RMC"/>
    <s v="CHU2820S07NM01"/>
    <s v="MB1H3LHD5PRJK1818"/>
    <x v="0"/>
    <s v="0002308436"/>
    <d v="2023-11-14T00:00:00"/>
    <s v="6"/>
    <s v="0000946953"/>
    <d v="2023-11-14T00:00:00"/>
    <s v="6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14T00:00:00"/>
    <s v="0006416739"/>
    <x v="0"/>
    <s v="CONCRETE OEM PRIVATE LIMITED"/>
    <s v="0011489167"/>
    <s v="9384838384"/>
    <s v="SF No.186 and 188, Concrete OEM Private Limited, Erikarai Ro Chennai 600069"/>
    <s v="S2"/>
    <s v="UE2820/39 R RMC"/>
    <x v="1"/>
    <s v="6X4 TIPPER"/>
    <s v="KANCHEEPURAM"/>
    <s v="RMC"/>
    <s v="CHU2820S07NM01"/>
    <s v="MB1H3LHD5PRJK1818"/>
    <x v="0"/>
    <s v="0002308436"/>
    <d v="2023-11-14T00:00:00"/>
    <s v="6"/>
    <s v="0000946953"/>
    <d v="2023-11-14T00:00:00"/>
    <s v="6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14T00:00:00"/>
    <s v="0006416146"/>
    <x v="1"/>
    <s v="CONCRETE OEM PRIVATE LIMITED"/>
    <s v="0011489167"/>
    <s v="9384838384"/>
    <s v="SF No.186 and 188, Concrete OEM Private Limited, Erikarai Ro Chennai 600069"/>
    <s v="S2"/>
    <s v="UE2820/39 R RMC"/>
    <x v="1"/>
    <s v="6X4 TIPPER"/>
    <s v="KANCHEEPURAM"/>
    <s v="RMC"/>
    <s v="CHU2820S07NM01"/>
    <s v="MB1H3LHD5PRGM1004"/>
    <x v="0"/>
    <s v="0002308436"/>
    <d v="2023-11-14T00:00:00"/>
    <s v="6"/>
    <s v="0000946953"/>
    <d v="2023-11-14T00:00:00"/>
    <s v="6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14T00:00:00"/>
    <s v="0006416146"/>
    <x v="0"/>
    <s v="CONCRETE OEM PRIVATE LIMITED"/>
    <s v="0011489167"/>
    <s v="9384838384"/>
    <s v="SF No.186 and 188, Concrete OEM Private Limited, Erikarai Ro Chennai 600069"/>
    <s v="S2"/>
    <s v="UE2820/39 R RMC"/>
    <x v="1"/>
    <s v="6X4 TIPPER"/>
    <s v="KANCHEEPURAM"/>
    <s v="RMC"/>
    <s v="CHU2820S07NM01"/>
    <s v="MB1H3LHD5PRGM1004"/>
    <x v="0"/>
    <s v="0002308436"/>
    <d v="2023-11-14T00:00:00"/>
    <s v="6"/>
    <s v="0000946953"/>
    <d v="2023-11-14T00:00:00"/>
    <s v="6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14T00:00:00"/>
    <s v="0006417733"/>
    <x v="0"/>
    <s v="CONCRETE OEM PRIVATE LIMITED"/>
    <s v="0011489167"/>
    <s v="9384838384"/>
    <s v="SF No.186 and 188, Concrete OEM Private Limited, Erikarai Ro Chennai 600069"/>
    <s v="S2"/>
    <s v="UE2820/39 R RMC"/>
    <x v="1"/>
    <s v="6X4 TIPPER"/>
    <s v="KANCHEEPURAM"/>
    <s v="RMC"/>
    <s v="CHU2820S07NM01"/>
    <s v="MB1H3LHD3PRGM1003"/>
    <x v="0"/>
    <s v="0002308436"/>
    <d v="2023-11-14T00:00:00"/>
    <s v="6"/>
    <s v="0000946953"/>
    <d v="2023-11-14T00:00:00"/>
    <s v="6"/>
  </r>
  <r>
    <s v="Z002"/>
    <s v="SZ1"/>
    <s v="R010"/>
    <s v="CHENNAI"/>
    <s v="AO06"/>
    <s v="CHENNAI"/>
    <s v="S757"/>
    <x v="0"/>
    <s v="5518"/>
    <x v="5"/>
    <x v="4"/>
    <s v="K KARUKKUVELRAJ"/>
    <s v="D67755121015"/>
    <s v="0009056069"/>
    <d v="2023-11-14T00:00:00"/>
    <s v="0006417733"/>
    <x v="1"/>
    <s v="CONCRETE OEM PRIVATE LIMITED"/>
    <s v="0011489167"/>
    <s v="9384838384"/>
    <s v="SF No.186 and 188, Concrete OEM Private Limited, Erikarai Ro Chennai 600069"/>
    <s v="S2"/>
    <s v="UE2820/39 R RMC"/>
    <x v="1"/>
    <s v="6X4 TIPPER"/>
    <s v="KANCHEEPURAM"/>
    <s v="RMC"/>
    <s v="CHU2820S07NM01"/>
    <s v="MB1H3LHD3PRGM1003"/>
    <x v="0"/>
    <s v="0002308436"/>
    <d v="2023-11-14T00:00:00"/>
    <s v="6"/>
    <s v="0000946953"/>
    <d v="2023-11-14T00:00:00"/>
    <s v="6"/>
  </r>
  <r>
    <s v="Z002"/>
    <s v="SZ1"/>
    <s v="R010"/>
    <s v="CHENNAI"/>
    <s v="AO06"/>
    <s v="CHENNAI"/>
    <s v="S757"/>
    <x v="0"/>
    <s v="5522"/>
    <x v="2"/>
    <x v="8"/>
    <s v="THIRUMALAIRAJAN J"/>
    <s v="D67755221015"/>
    <s v="0009076200"/>
    <d v="2023-11-14T00:00:00"/>
    <s v="0006416862"/>
    <x v="0"/>
    <s v="II600THIRUVENNAINALLUR PRIMARY AGRICULTURAL COOP CREDIT SOCEITY LIMITED"/>
    <s v="0012568199"/>
    <s v="9943482808"/>
    <s v="No.1, Main Road, Thiruvennainallur, Villupuram. Thiruvennainallur 607203"/>
    <s v="S1"/>
    <s v="CA1615/42 H FBL"/>
    <x v="0"/>
    <s v="15T"/>
    <s v="VILLUPURAM"/>
    <s v="MARKET LOAD"/>
    <s v="CDE161520H0007"/>
    <s v=""/>
    <x v="0"/>
    <s v="0002303315"/>
    <d v="2023-11-07T00:00:00"/>
    <s v="1"/>
    <s v="0000947004"/>
    <d v="2023-11-14T00:00:00"/>
    <s v="1"/>
  </r>
  <r>
    <s v="Z002"/>
    <s v="SZ1"/>
    <s v="R010"/>
    <s v="CHENNAI"/>
    <s v="AO06"/>
    <s v="CHENNAI"/>
    <s v="S757"/>
    <x v="0"/>
    <s v="5520"/>
    <x v="0"/>
    <x v="5"/>
    <s v="BASKAR S"/>
    <s v="D67755201005"/>
    <s v="0009056081"/>
    <d v="2023-11-14T00:00:00"/>
    <s v="0006417144"/>
    <x v="0"/>
    <s v="ABDUL KAREEM H"/>
    <s v="0011171350"/>
    <s v="7010270103"/>
    <s v="S/O ABDUL HAMEED NO.62 NEW N0.140 Vellore 632004"/>
    <s v="S3"/>
    <s v="VK2011.4T6R"/>
    <x v="3"/>
    <s v="MCV BUS"/>
    <s v="VELLORE LOCAL"/>
    <s v="TOURIST BUS"/>
    <s v="CCV20114D00048"/>
    <s v="MB1PBEHD0PEEL8202"/>
    <x v="0"/>
    <s v="0002305247"/>
    <d v="2023-11-09T00:00:00"/>
    <s v="1"/>
    <s v="0000946337"/>
    <d v="2023-11-14T00:00:00"/>
    <s v="1"/>
  </r>
  <r>
    <s v="Z002"/>
    <s v="SZ1"/>
    <s v="R010"/>
    <s v="CHENNAI"/>
    <s v="AO06"/>
    <s v="CHENNAI"/>
    <s v="S757"/>
    <x v="0"/>
    <s v="5520"/>
    <x v="0"/>
    <x v="5"/>
    <s v="BASKAR S"/>
    <s v="D67755201005"/>
    <s v="0009056081"/>
    <d v="2023-11-14T00:00:00"/>
    <s v="0006417144"/>
    <x v="1"/>
    <s v="ABDUL KAREEM H"/>
    <s v="0011171350"/>
    <s v="7010270103"/>
    <s v="S/O ABDUL HAMEED NO.62 NEW N0.140 Vellore 632004"/>
    <s v="S3"/>
    <s v="VK2011.4T6R"/>
    <x v="3"/>
    <s v="MCV BUS"/>
    <s v="VELLORE LOCAL"/>
    <s v="TOURIST BUS"/>
    <s v="CCV20114D00048"/>
    <s v="MB1PBEHD0PEEL8202"/>
    <x v="0"/>
    <s v="0002305247"/>
    <d v="2023-11-09T00:00:00"/>
    <s v="1"/>
    <s v="0000946337"/>
    <d v="2023-11-14T00:00:00"/>
    <s v="1"/>
  </r>
  <r>
    <s v="Z002"/>
    <s v="SZ1"/>
    <s v="R010"/>
    <s v="CHENNAI"/>
    <s v="AO06"/>
    <s v="CHENNAI"/>
    <s v="S757"/>
    <x v="0"/>
    <s v="5512"/>
    <x v="4"/>
    <x v="9"/>
    <s v="A RAVI VARMA"/>
    <s v="D67755121014"/>
    <s v="0009056068"/>
    <d v="2023-11-14T00:00:00"/>
    <s v="0006416736"/>
    <x v="0"/>
    <s v="MURALI RANGANATHAN"/>
    <s v="0012033963"/>
    <s v="7299336426"/>
    <s v="NO 1/11, NO 1/18 RAJA NAICKER STREET,SIVABOOTHAM VANAGARAM, Chennai 600095"/>
    <s v="S1"/>
    <s v="PA1215/45 H CC"/>
    <x v="0"/>
    <s v="12T"/>
    <s v="MADHAVARAM"/>
    <s v="PARCEL LOADS"/>
    <s v="CDB121520C0002"/>
    <s v=""/>
    <x v="0"/>
    <s v="0002265611"/>
    <d v="2023-10-07T00:00:00"/>
    <s v="1"/>
    <s v="0000943596"/>
    <d v="2023-10-31T00:00:0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E11" firstHeaderRow="1" firstDataRow="2" firstDataCol="1" rowPageCount="2" colPageCount="1"/>
  <pivotFields count="36"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Page" showAll="0">
      <items count="8">
        <item x="4"/>
        <item x="3"/>
        <item x="6"/>
        <item x="1"/>
        <item x="5"/>
        <item x="0"/>
        <item x="2"/>
        <item t="default"/>
      </items>
    </pivotField>
    <pivotField axis="axisPage" multipleItemSelectionAllowed="1" showAll="0">
      <items count="12">
        <item x="2"/>
        <item x="7"/>
        <item x="1"/>
        <item x="10"/>
        <item x="3"/>
        <item x="4"/>
        <item x="6"/>
        <item x="5"/>
        <item x="9"/>
        <item x="8"/>
        <item x="0"/>
        <item t="default"/>
      </items>
    </pivotField>
    <pivotField showAll="0"/>
    <pivotField showAll="0"/>
    <pivotField showAll="0"/>
    <pivotField numFmtId="14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multipleItemSelectionAllowed="1" showAll="0">
      <items count="6">
        <item x="1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numFmtId="14" showAll="0"/>
    <pivotField showAll="0"/>
    <pivotField showAll="0"/>
    <pivotField numFmtId="14" showAll="0"/>
    <pivotField showAll="0"/>
  </pivotFields>
  <rowFields count="1">
    <field x="2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2">
    <pageField fld="10" hier="-1"/>
    <pageField fld="9" hier="-1"/>
  </pageFields>
  <dataFields count="1">
    <dataField name="Count of Qty" fld="2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172" workbookViewId="0">
      <selection activeCell="G11" sqref="G11"/>
    </sheetView>
  </sheetViews>
  <sheetFormatPr defaultRowHeight="12.5" x14ac:dyDescent="0.25"/>
  <cols>
    <col min="1" max="1" width="18" customWidth="1"/>
    <col min="2" max="2" width="15.90625" customWidth="1"/>
    <col min="3" max="3" width="11.81640625" customWidth="1"/>
    <col min="4" max="4" width="10.6328125" customWidth="1"/>
    <col min="5" max="5" width="11.08984375" customWidth="1"/>
    <col min="6" max="6" width="16.81640625" customWidth="1"/>
    <col min="7" max="7" width="12.26953125" customWidth="1"/>
    <col min="8" max="8" width="12.6328125" customWidth="1"/>
    <col min="9" max="9" width="15.6328125" customWidth="1"/>
    <col min="10" max="10" width="11.08984375" customWidth="1"/>
    <col min="11" max="11" width="10.6328125" customWidth="1"/>
    <col min="12" max="12" width="14.36328125" customWidth="1"/>
    <col min="13" max="13" width="14.26953125" customWidth="1"/>
    <col min="14" max="14" width="10.6328125" bestFit="1" customWidth="1"/>
    <col min="15" max="15" width="17.7265625" bestFit="1" customWidth="1"/>
    <col min="16" max="16" width="10.453125" bestFit="1" customWidth="1"/>
    <col min="17" max="17" width="11.81640625" bestFit="1" customWidth="1"/>
    <col min="18" max="18" width="10.6328125" bestFit="1" customWidth="1"/>
    <col min="19" max="19" width="13.81640625" bestFit="1" customWidth="1"/>
    <col min="20" max="20" width="11.08984375" bestFit="1" customWidth="1"/>
  </cols>
  <sheetData>
    <row r="1" spans="1:6" x14ac:dyDescent="0.25">
      <c r="A1" s="4" t="s">
        <v>649</v>
      </c>
      <c r="B1" t="s">
        <v>675</v>
      </c>
    </row>
    <row r="2" spans="1:6" x14ac:dyDescent="0.25">
      <c r="A2" s="4" t="s">
        <v>648</v>
      </c>
      <c r="B2" t="s">
        <v>675</v>
      </c>
    </row>
    <row r="4" spans="1:6" x14ac:dyDescent="0.25">
      <c r="A4" s="4" t="s">
        <v>678</v>
      </c>
      <c r="B4" s="4" t="s">
        <v>676</v>
      </c>
    </row>
    <row r="5" spans="1:6" x14ac:dyDescent="0.25">
      <c r="A5" s="4" t="s">
        <v>679</v>
      </c>
      <c r="B5" t="s">
        <v>114</v>
      </c>
      <c r="C5" t="s">
        <v>218</v>
      </c>
      <c r="D5" t="s">
        <v>14</v>
      </c>
      <c r="E5" t="s">
        <v>677</v>
      </c>
    </row>
    <row r="6" spans="1:6" x14ac:dyDescent="0.25">
      <c r="A6" s="6" t="s">
        <v>43</v>
      </c>
      <c r="B6" s="5">
        <v>15</v>
      </c>
      <c r="C6" s="5">
        <v>4</v>
      </c>
      <c r="D6" s="5">
        <v>28</v>
      </c>
      <c r="E6" s="5">
        <v>47</v>
      </c>
      <c r="F6" s="7">
        <f>GETPIVOTDATA("Qty",$A$4,"Transaction Type","Invoice","Vertical","C&amp;M")-GETPIVOTDATA("Qty",$A$4,"Transaction Type","Return order","Vertical","C&amp;M")</f>
        <v>11</v>
      </c>
    </row>
    <row r="7" spans="1:6" x14ac:dyDescent="0.25">
      <c r="A7" s="6" t="s">
        <v>311</v>
      </c>
      <c r="B7" s="5">
        <v>1</v>
      </c>
      <c r="C7" s="5"/>
      <c r="D7" s="5">
        <v>1</v>
      </c>
      <c r="E7" s="5">
        <v>2</v>
      </c>
      <c r="F7" s="7">
        <f>GETPIVOTDATA("Qty",$A$4,"Transaction Type","Invoice","Vertical","ICV-Bus")-GETPIVOTDATA("Qty",$A$4,"Transaction Type","Return order","Vertical","ICV-Bus")</f>
        <v>1</v>
      </c>
    </row>
    <row r="8" spans="1:6" x14ac:dyDescent="0.25">
      <c r="A8" s="6" t="s">
        <v>21</v>
      </c>
      <c r="B8" s="5">
        <v>30</v>
      </c>
      <c r="C8" s="5">
        <v>16</v>
      </c>
      <c r="D8" s="5">
        <v>34</v>
      </c>
      <c r="E8" s="5">
        <v>80</v>
      </c>
      <c r="F8" s="7">
        <f>GETPIVOTDATA("Qty",$A$4,"Transaction Type","Invoice","Vertical","ICV-Truck")-GETPIVOTDATA("Qty",$A$4,"Transaction Type","Return order","Vertical","ICV-Truck")</f>
        <v>14</v>
      </c>
    </row>
    <row r="9" spans="1:6" x14ac:dyDescent="0.25">
      <c r="A9" s="6" t="s">
        <v>100</v>
      </c>
      <c r="B9" s="5">
        <v>5</v>
      </c>
      <c r="C9" s="5"/>
      <c r="D9" s="5">
        <v>5</v>
      </c>
      <c r="E9" s="5">
        <v>10</v>
      </c>
      <c r="F9" s="7">
        <f>GETPIVOTDATA("Qty",$A$4,"Transaction Type","Invoice","Vertical","Long Haulage")</f>
        <v>5</v>
      </c>
    </row>
    <row r="10" spans="1:6" x14ac:dyDescent="0.25">
      <c r="A10" s="6" t="s">
        <v>139</v>
      </c>
      <c r="B10" s="5">
        <v>6</v>
      </c>
      <c r="C10" s="5">
        <v>1</v>
      </c>
      <c r="D10" s="5">
        <v>6</v>
      </c>
      <c r="E10" s="5">
        <v>13</v>
      </c>
      <c r="F10" s="7">
        <f>GETPIVOTDATA("Qty",$A$4,"Transaction Type","Invoice","Vertical","MDV-Bus")-GETPIVOTDATA("Qty",$A$4,"Transaction Type","Return order","Vertical","MDV-Bus")</f>
        <v>5</v>
      </c>
    </row>
    <row r="11" spans="1:6" x14ac:dyDescent="0.25">
      <c r="A11" s="6" t="s">
        <v>677</v>
      </c>
      <c r="B11" s="5">
        <v>57</v>
      </c>
      <c r="C11" s="5">
        <v>21</v>
      </c>
      <c r="D11" s="5">
        <v>74</v>
      </c>
      <c r="E11" s="5">
        <v>152</v>
      </c>
      <c r="F11" s="7">
        <f>GETPIVOTDATA("Qty",$A$4,"Transaction Type","Invoice")-GETPIVOTDATA("Qty",$A$4,"Transaction Type","Return order")</f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53"/>
  <sheetViews>
    <sheetView workbookViewId="0">
      <selection activeCell="J9" sqref="A1:AJ153"/>
    </sheetView>
  </sheetViews>
  <sheetFormatPr defaultRowHeight="12.5" x14ac:dyDescent="0.25"/>
  <cols>
    <col min="1" max="1" width="6" bestFit="1" customWidth="1"/>
    <col min="2" max="2" width="13" bestFit="1" customWidth="1"/>
    <col min="3" max="3" width="8" bestFit="1" customWidth="1"/>
    <col min="4" max="4" width="15" bestFit="1" customWidth="1"/>
    <col min="5" max="5" width="11" bestFit="1" customWidth="1"/>
    <col min="6" max="6" width="9" bestFit="1" customWidth="1"/>
    <col min="7" max="7" width="11" bestFit="1" customWidth="1"/>
    <col min="8" max="8" width="19" bestFit="1" customWidth="1"/>
    <col min="9" max="9" width="6" bestFit="1" customWidth="1"/>
    <col min="10" max="10" width="27" bestFit="1" customWidth="1"/>
    <col min="11" max="11" width="21" bestFit="1" customWidth="1"/>
    <col min="12" max="12" width="24" bestFit="1" customWidth="1"/>
    <col min="13" max="13" width="15" bestFit="1" customWidth="1"/>
    <col min="14" max="14" width="17" bestFit="1" customWidth="1"/>
    <col min="15" max="15" width="15" bestFit="1" customWidth="1"/>
    <col min="16" max="16" width="16" bestFit="1" customWidth="1"/>
    <col min="17" max="17" width="18" bestFit="1" customWidth="1"/>
    <col min="18" max="18" width="75" bestFit="1" customWidth="1"/>
    <col min="19" max="19" width="13" bestFit="1" customWidth="1"/>
    <col min="20" max="20" width="19" bestFit="1" customWidth="1"/>
    <col min="21" max="21" width="84" bestFit="1" customWidth="1"/>
    <col min="22" max="22" width="7" bestFit="1" customWidth="1"/>
    <col min="23" max="23" width="17" bestFit="1" customWidth="1"/>
    <col min="24" max="24" width="14" bestFit="1" customWidth="1"/>
    <col min="25" max="25" width="13" bestFit="1" customWidth="1"/>
    <col min="26" max="26" width="15" bestFit="1" customWidth="1"/>
    <col min="27" max="27" width="29" bestFit="1" customWidth="1"/>
    <col min="28" max="29" width="19" bestFit="1" customWidth="1"/>
    <col min="30" max="30" width="5" bestFit="1" customWidth="1"/>
    <col min="31" max="31" width="13" bestFit="1" customWidth="1"/>
    <col min="32" max="32" width="20" bestFit="1" customWidth="1"/>
    <col min="33" max="33" width="9" bestFit="1" customWidth="1"/>
    <col min="34" max="35" width="13" bestFit="1" customWidth="1"/>
    <col min="36" max="36" width="11" bestFit="1" customWidth="1"/>
  </cols>
  <sheetData>
    <row r="1" spans="1:36" ht="50" x14ac:dyDescent="0.25">
      <c r="A1" s="1" t="s">
        <v>639</v>
      </c>
      <c r="B1" s="1" t="s">
        <v>640</v>
      </c>
      <c r="C1" s="1" t="s">
        <v>641</v>
      </c>
      <c r="D1" s="1" t="s">
        <v>642</v>
      </c>
      <c r="E1" s="1" t="s">
        <v>643</v>
      </c>
      <c r="F1" s="3" t="s">
        <v>644</v>
      </c>
      <c r="G1" s="1" t="s">
        <v>645</v>
      </c>
      <c r="H1" s="1" t="s">
        <v>646</v>
      </c>
      <c r="I1" s="3" t="s">
        <v>647</v>
      </c>
      <c r="J1" s="1" t="s">
        <v>648</v>
      </c>
      <c r="K1" s="1" t="s">
        <v>649</v>
      </c>
      <c r="L1" s="1" t="s">
        <v>650</v>
      </c>
      <c r="M1" s="1" t="s">
        <v>651</v>
      </c>
      <c r="N1" s="1" t="s">
        <v>652</v>
      </c>
      <c r="O1" s="1" t="s">
        <v>653</v>
      </c>
      <c r="P1" s="1" t="s">
        <v>654</v>
      </c>
      <c r="Q1" s="1" t="s">
        <v>655</v>
      </c>
      <c r="R1" s="1" t="s">
        <v>656</v>
      </c>
      <c r="S1" s="1" t="s">
        <v>657</v>
      </c>
      <c r="T1" s="1" t="s">
        <v>658</v>
      </c>
      <c r="U1" s="1" t="s">
        <v>659</v>
      </c>
      <c r="V1" s="1" t="s">
        <v>660</v>
      </c>
      <c r="W1" s="1" t="s">
        <v>661</v>
      </c>
      <c r="X1" s="1" t="s">
        <v>662</v>
      </c>
      <c r="Y1" s="1" t="s">
        <v>663</v>
      </c>
      <c r="Z1" s="1" t="s">
        <v>664</v>
      </c>
      <c r="AA1" s="1" t="s">
        <v>665</v>
      </c>
      <c r="AB1" s="1" t="s">
        <v>666</v>
      </c>
      <c r="AC1" s="1" t="s">
        <v>667</v>
      </c>
      <c r="AD1" s="1" t="s">
        <v>668</v>
      </c>
      <c r="AE1" s="1" t="s">
        <v>669</v>
      </c>
      <c r="AF1" s="1" t="s">
        <v>670</v>
      </c>
      <c r="AG1" s="3" t="s">
        <v>671</v>
      </c>
      <c r="AH1" s="1" t="s">
        <v>672</v>
      </c>
      <c r="AI1" s="3" t="s">
        <v>673</v>
      </c>
      <c r="AJ1" s="3" t="s">
        <v>674</v>
      </c>
    </row>
    <row r="2" spans="1:3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45231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2">
        <v>45184</v>
      </c>
      <c r="AG2" t="s">
        <v>29</v>
      </c>
      <c r="AH2" t="s">
        <v>30</v>
      </c>
      <c r="AI2" s="2">
        <v>45231</v>
      </c>
      <c r="AJ2" t="s">
        <v>29</v>
      </c>
    </row>
    <row r="3" spans="1:3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s="2">
        <v>45231</v>
      </c>
      <c r="P3" t="s">
        <v>37</v>
      </c>
      <c r="Q3" t="s">
        <v>14</v>
      </c>
      <c r="R3" t="s">
        <v>38</v>
      </c>
      <c r="S3" t="s">
        <v>39</v>
      </c>
      <c r="T3" t="s">
        <v>40</v>
      </c>
      <c r="U3" t="s">
        <v>41</v>
      </c>
      <c r="V3" t="s">
        <v>19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26</v>
      </c>
      <c r="AD3" t="s">
        <v>27</v>
      </c>
      <c r="AE3" t="s">
        <v>48</v>
      </c>
      <c r="AF3" s="2">
        <v>45230</v>
      </c>
      <c r="AG3" t="s">
        <v>49</v>
      </c>
      <c r="AH3" t="s">
        <v>50</v>
      </c>
      <c r="AI3" s="2">
        <v>45231</v>
      </c>
      <c r="AJ3" t="s">
        <v>51</v>
      </c>
    </row>
    <row r="4" spans="1:36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52</v>
      </c>
      <c r="J4" t="s">
        <v>53</v>
      </c>
      <c r="K4" t="s">
        <v>33</v>
      </c>
      <c r="L4" t="s">
        <v>54</v>
      </c>
      <c r="M4" t="s">
        <v>55</v>
      </c>
      <c r="N4" t="s">
        <v>56</v>
      </c>
      <c r="O4" s="2">
        <v>45231</v>
      </c>
      <c r="P4" t="s">
        <v>57</v>
      </c>
      <c r="Q4" t="s">
        <v>14</v>
      </c>
      <c r="R4" t="s">
        <v>58</v>
      </c>
      <c r="S4" t="s">
        <v>59</v>
      </c>
      <c r="T4" t="s">
        <v>60</v>
      </c>
      <c r="U4" t="s">
        <v>61</v>
      </c>
      <c r="V4" t="s">
        <v>19</v>
      </c>
      <c r="W4" t="s">
        <v>62</v>
      </c>
      <c r="X4" t="s">
        <v>43</v>
      </c>
      <c r="Y4" t="s">
        <v>63</v>
      </c>
      <c r="Z4" t="s">
        <v>64</v>
      </c>
      <c r="AA4" t="s">
        <v>46</v>
      </c>
      <c r="AB4" t="s">
        <v>65</v>
      </c>
      <c r="AC4" t="s">
        <v>26</v>
      </c>
      <c r="AD4" t="s">
        <v>27</v>
      </c>
      <c r="AE4" t="s">
        <v>66</v>
      </c>
      <c r="AF4" s="2">
        <v>45230</v>
      </c>
      <c r="AG4" t="s">
        <v>29</v>
      </c>
      <c r="AH4" t="s">
        <v>67</v>
      </c>
      <c r="AI4" s="2">
        <v>45231</v>
      </c>
      <c r="AJ4" t="s">
        <v>29</v>
      </c>
    </row>
    <row r="5" spans="1:3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52</v>
      </c>
      <c r="J5" t="s">
        <v>53</v>
      </c>
      <c r="K5" t="s">
        <v>33</v>
      </c>
      <c r="L5" t="s">
        <v>68</v>
      </c>
      <c r="M5" t="s">
        <v>69</v>
      </c>
      <c r="N5" t="s">
        <v>70</v>
      </c>
      <c r="O5" s="2">
        <v>45231</v>
      </c>
      <c r="P5" t="s">
        <v>71</v>
      </c>
      <c r="Q5" t="s">
        <v>14</v>
      </c>
      <c r="R5" t="s">
        <v>58</v>
      </c>
      <c r="S5" t="s">
        <v>59</v>
      </c>
      <c r="T5" t="s">
        <v>60</v>
      </c>
      <c r="U5" t="s">
        <v>61</v>
      </c>
      <c r="V5" t="s">
        <v>19</v>
      </c>
      <c r="W5" t="s">
        <v>62</v>
      </c>
      <c r="X5" t="s">
        <v>43</v>
      </c>
      <c r="Y5" t="s">
        <v>63</v>
      </c>
      <c r="Z5" t="s">
        <v>72</v>
      </c>
      <c r="AA5" t="s">
        <v>46</v>
      </c>
      <c r="AB5" t="s">
        <v>65</v>
      </c>
      <c r="AC5" t="s">
        <v>26</v>
      </c>
      <c r="AD5" t="s">
        <v>27</v>
      </c>
      <c r="AE5" t="s">
        <v>73</v>
      </c>
      <c r="AF5" s="2">
        <v>45231</v>
      </c>
      <c r="AG5" t="s">
        <v>29</v>
      </c>
      <c r="AH5" t="s">
        <v>74</v>
      </c>
      <c r="AI5" s="2">
        <v>45231</v>
      </c>
      <c r="AJ5" t="s">
        <v>29</v>
      </c>
    </row>
    <row r="6" spans="1:36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s="2">
        <v>45231</v>
      </c>
      <c r="P6" t="s">
        <v>81</v>
      </c>
      <c r="Q6" t="s">
        <v>14</v>
      </c>
      <c r="R6" t="s">
        <v>82</v>
      </c>
      <c r="S6" t="s">
        <v>83</v>
      </c>
      <c r="T6" t="s">
        <v>84</v>
      </c>
      <c r="U6" t="s">
        <v>85</v>
      </c>
      <c r="V6" t="s">
        <v>19</v>
      </c>
      <c r="W6" t="s">
        <v>62</v>
      </c>
      <c r="X6" t="s">
        <v>43</v>
      </c>
      <c r="Y6" t="s">
        <v>63</v>
      </c>
      <c r="Z6" t="s">
        <v>86</v>
      </c>
      <c r="AA6" t="s">
        <v>46</v>
      </c>
      <c r="AB6" t="s">
        <v>87</v>
      </c>
      <c r="AC6" t="s">
        <v>26</v>
      </c>
      <c r="AD6" t="s">
        <v>27</v>
      </c>
      <c r="AE6" t="s">
        <v>88</v>
      </c>
      <c r="AF6" s="2">
        <v>45231</v>
      </c>
      <c r="AG6" t="s">
        <v>29</v>
      </c>
      <c r="AH6" t="s">
        <v>89</v>
      </c>
      <c r="AI6" s="2">
        <v>45231</v>
      </c>
      <c r="AJ6" t="s">
        <v>29</v>
      </c>
    </row>
    <row r="7" spans="1:36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75</v>
      </c>
      <c r="J7" t="s">
        <v>76</v>
      </c>
      <c r="K7" t="s">
        <v>77</v>
      </c>
      <c r="L7" t="s">
        <v>90</v>
      </c>
      <c r="M7" t="s">
        <v>91</v>
      </c>
      <c r="N7" t="s">
        <v>92</v>
      </c>
      <c r="O7" s="2">
        <v>45233</v>
      </c>
      <c r="P7" t="s">
        <v>93</v>
      </c>
      <c r="Q7" t="s">
        <v>14</v>
      </c>
      <c r="R7" t="s">
        <v>94</v>
      </c>
      <c r="S7" t="s">
        <v>95</v>
      </c>
      <c r="T7" t="s">
        <v>96</v>
      </c>
      <c r="U7" t="s">
        <v>97</v>
      </c>
      <c r="V7" t="s">
        <v>98</v>
      </c>
      <c r="W7" t="s">
        <v>99</v>
      </c>
      <c r="X7" t="s">
        <v>100</v>
      </c>
      <c r="Y7" t="s">
        <v>101</v>
      </c>
      <c r="Z7" t="s">
        <v>102</v>
      </c>
      <c r="AA7" t="s">
        <v>24</v>
      </c>
      <c r="AB7" t="s">
        <v>103</v>
      </c>
      <c r="AC7" t="s">
        <v>104</v>
      </c>
      <c r="AD7" t="s">
        <v>27</v>
      </c>
      <c r="AE7" t="s">
        <v>105</v>
      </c>
      <c r="AF7" s="2">
        <v>45189</v>
      </c>
      <c r="AG7" t="s">
        <v>29</v>
      </c>
      <c r="AH7" t="s">
        <v>106</v>
      </c>
      <c r="AI7" s="2">
        <v>45226</v>
      </c>
      <c r="AJ7" t="s">
        <v>29</v>
      </c>
    </row>
    <row r="8" spans="1:36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112</v>
      </c>
      <c r="O8" s="2">
        <v>45233</v>
      </c>
      <c r="P8" t="s">
        <v>113</v>
      </c>
      <c r="Q8" t="s">
        <v>114</v>
      </c>
      <c r="R8" t="s">
        <v>115</v>
      </c>
      <c r="S8" t="s">
        <v>116</v>
      </c>
      <c r="T8" t="s">
        <v>117</v>
      </c>
      <c r="U8" t="s">
        <v>118</v>
      </c>
      <c r="V8" t="s">
        <v>119</v>
      </c>
      <c r="W8" t="s">
        <v>120</v>
      </c>
      <c r="X8" t="s">
        <v>21</v>
      </c>
      <c r="Y8" t="s">
        <v>121</v>
      </c>
      <c r="Z8" t="s">
        <v>122</v>
      </c>
      <c r="AA8" t="s">
        <v>24</v>
      </c>
      <c r="AB8" t="s">
        <v>123</v>
      </c>
      <c r="AC8" t="s">
        <v>124</v>
      </c>
      <c r="AD8" t="s">
        <v>27</v>
      </c>
      <c r="AE8" t="s">
        <v>125</v>
      </c>
      <c r="AF8" s="2">
        <v>45232</v>
      </c>
      <c r="AG8" t="s">
        <v>29</v>
      </c>
      <c r="AH8" t="s">
        <v>126</v>
      </c>
      <c r="AI8" s="2">
        <v>45233</v>
      </c>
      <c r="AJ8" t="s">
        <v>29</v>
      </c>
    </row>
    <row r="9" spans="1:36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127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s="2">
        <v>45233</v>
      </c>
      <c r="P9" t="s">
        <v>133</v>
      </c>
      <c r="Q9" t="s">
        <v>14</v>
      </c>
      <c r="R9" t="s">
        <v>134</v>
      </c>
      <c r="S9" t="s">
        <v>135</v>
      </c>
      <c r="T9" t="s">
        <v>136</v>
      </c>
      <c r="U9" t="s">
        <v>137</v>
      </c>
      <c r="V9" t="s">
        <v>119</v>
      </c>
      <c r="W9" t="s">
        <v>138</v>
      </c>
      <c r="X9" t="s">
        <v>139</v>
      </c>
      <c r="Y9" t="s">
        <v>140</v>
      </c>
      <c r="Z9" t="s">
        <v>141</v>
      </c>
      <c r="AA9" t="s">
        <v>142</v>
      </c>
      <c r="AB9" t="s">
        <v>143</v>
      </c>
      <c r="AC9" t="s">
        <v>144</v>
      </c>
      <c r="AD9" t="s">
        <v>27</v>
      </c>
      <c r="AE9" t="s">
        <v>145</v>
      </c>
      <c r="AF9" s="2">
        <v>45231</v>
      </c>
      <c r="AG9" t="s">
        <v>146</v>
      </c>
      <c r="AH9" t="s">
        <v>147</v>
      </c>
      <c r="AI9" s="2">
        <v>45231</v>
      </c>
      <c r="AJ9" t="s">
        <v>146</v>
      </c>
    </row>
    <row r="10" spans="1:36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127</v>
      </c>
      <c r="J10" t="s">
        <v>128</v>
      </c>
      <c r="K10" t="s">
        <v>129</v>
      </c>
      <c r="L10" t="s">
        <v>130</v>
      </c>
      <c r="M10" t="s">
        <v>131</v>
      </c>
      <c r="N10" t="s">
        <v>132</v>
      </c>
      <c r="O10" s="2">
        <v>45233</v>
      </c>
      <c r="P10" t="s">
        <v>133</v>
      </c>
      <c r="Q10" t="s">
        <v>114</v>
      </c>
      <c r="R10" t="s">
        <v>134</v>
      </c>
      <c r="S10" t="s">
        <v>135</v>
      </c>
      <c r="T10" t="s">
        <v>136</v>
      </c>
      <c r="U10" t="s">
        <v>137</v>
      </c>
      <c r="V10" t="s">
        <v>119</v>
      </c>
      <c r="W10" t="s">
        <v>138</v>
      </c>
      <c r="X10" t="s">
        <v>139</v>
      </c>
      <c r="Y10" t="s">
        <v>140</v>
      </c>
      <c r="Z10" t="s">
        <v>141</v>
      </c>
      <c r="AA10" t="s">
        <v>142</v>
      </c>
      <c r="AB10" t="s">
        <v>143</v>
      </c>
      <c r="AC10" t="s">
        <v>144</v>
      </c>
      <c r="AD10" t="s">
        <v>27</v>
      </c>
      <c r="AE10" t="s">
        <v>145</v>
      </c>
      <c r="AF10" s="2">
        <v>45231</v>
      </c>
      <c r="AG10" t="s">
        <v>146</v>
      </c>
      <c r="AH10" t="s">
        <v>147</v>
      </c>
      <c r="AI10" s="2">
        <v>45231</v>
      </c>
      <c r="AJ10" t="s">
        <v>146</v>
      </c>
    </row>
    <row r="11" spans="1:36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107</v>
      </c>
      <c r="J11" t="s">
        <v>108</v>
      </c>
      <c r="K11" t="s">
        <v>109</v>
      </c>
      <c r="L11" t="s">
        <v>110</v>
      </c>
      <c r="M11" t="s">
        <v>111</v>
      </c>
      <c r="N11" t="s">
        <v>112</v>
      </c>
      <c r="O11" s="2">
        <v>45233</v>
      </c>
      <c r="P11" t="s">
        <v>113</v>
      </c>
      <c r="Q11" t="s">
        <v>14</v>
      </c>
      <c r="R11" t="s">
        <v>115</v>
      </c>
      <c r="S11" t="s">
        <v>116</v>
      </c>
      <c r="T11" t="s">
        <v>117</v>
      </c>
      <c r="U11" t="s">
        <v>118</v>
      </c>
      <c r="V11" t="s">
        <v>119</v>
      </c>
      <c r="W11" t="s">
        <v>120</v>
      </c>
      <c r="X11" t="s">
        <v>21</v>
      </c>
      <c r="Y11" t="s">
        <v>121</v>
      </c>
      <c r="Z11" t="s">
        <v>122</v>
      </c>
      <c r="AA11" t="s">
        <v>24</v>
      </c>
      <c r="AB11" t="s">
        <v>123</v>
      </c>
      <c r="AC11" t="s">
        <v>124</v>
      </c>
      <c r="AD11" t="s">
        <v>27</v>
      </c>
      <c r="AE11" t="s">
        <v>125</v>
      </c>
      <c r="AF11" s="2">
        <v>45232</v>
      </c>
      <c r="AG11" t="s">
        <v>29</v>
      </c>
      <c r="AH11" t="s">
        <v>126</v>
      </c>
      <c r="AI11" s="2">
        <v>45233</v>
      </c>
      <c r="AJ11" t="s">
        <v>29</v>
      </c>
    </row>
    <row r="12" spans="1:36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7</v>
      </c>
      <c r="J12" t="s">
        <v>8</v>
      </c>
      <c r="K12" t="s">
        <v>148</v>
      </c>
      <c r="L12" t="s">
        <v>149</v>
      </c>
      <c r="M12" t="s">
        <v>150</v>
      </c>
      <c r="N12" t="s">
        <v>151</v>
      </c>
      <c r="O12" s="2">
        <v>45233</v>
      </c>
      <c r="P12" t="s">
        <v>152</v>
      </c>
      <c r="Q12" t="s">
        <v>14</v>
      </c>
      <c r="R12" t="s">
        <v>153</v>
      </c>
      <c r="S12" t="s">
        <v>154</v>
      </c>
      <c r="T12" t="s">
        <v>155</v>
      </c>
      <c r="U12" t="s">
        <v>156</v>
      </c>
      <c r="V12" t="s">
        <v>98</v>
      </c>
      <c r="W12" t="s">
        <v>157</v>
      </c>
      <c r="X12" t="s">
        <v>100</v>
      </c>
      <c r="Y12" t="s">
        <v>158</v>
      </c>
      <c r="Z12" t="s">
        <v>23</v>
      </c>
      <c r="AA12" t="s">
        <v>24</v>
      </c>
      <c r="AB12" t="s">
        <v>159</v>
      </c>
      <c r="AC12" t="s">
        <v>160</v>
      </c>
      <c r="AD12" t="s">
        <v>27</v>
      </c>
      <c r="AE12" t="s">
        <v>161</v>
      </c>
      <c r="AF12" s="2">
        <v>45227</v>
      </c>
      <c r="AG12" t="s">
        <v>29</v>
      </c>
      <c r="AH12" t="s">
        <v>162</v>
      </c>
      <c r="AI12" s="2">
        <v>45233</v>
      </c>
      <c r="AJ12" t="s">
        <v>29</v>
      </c>
    </row>
    <row r="13" spans="1:36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7</v>
      </c>
      <c r="J13" t="s">
        <v>8</v>
      </c>
      <c r="K13" t="s">
        <v>148</v>
      </c>
      <c r="L13" t="s">
        <v>163</v>
      </c>
      <c r="M13" t="s">
        <v>164</v>
      </c>
      <c r="N13" t="s">
        <v>165</v>
      </c>
      <c r="O13" s="2">
        <v>45234</v>
      </c>
      <c r="P13" t="s">
        <v>166</v>
      </c>
      <c r="Q13" t="s">
        <v>114</v>
      </c>
      <c r="R13" t="s">
        <v>167</v>
      </c>
      <c r="S13" t="s">
        <v>168</v>
      </c>
      <c r="T13" t="s">
        <v>169</v>
      </c>
      <c r="U13" t="s">
        <v>170</v>
      </c>
      <c r="V13" t="s">
        <v>119</v>
      </c>
      <c r="W13" t="s">
        <v>42</v>
      </c>
      <c r="X13" t="s">
        <v>43</v>
      </c>
      <c r="Y13" t="s">
        <v>44</v>
      </c>
      <c r="Z13" t="s">
        <v>171</v>
      </c>
      <c r="AA13" t="s">
        <v>46</v>
      </c>
      <c r="AB13" t="s">
        <v>47</v>
      </c>
      <c r="AC13" t="s">
        <v>172</v>
      </c>
      <c r="AD13" t="s">
        <v>27</v>
      </c>
      <c r="AE13" t="s">
        <v>173</v>
      </c>
      <c r="AF13" s="2">
        <v>45233</v>
      </c>
      <c r="AG13" t="s">
        <v>51</v>
      </c>
      <c r="AH13" t="s">
        <v>174</v>
      </c>
      <c r="AI13" s="2">
        <v>45233</v>
      </c>
      <c r="AJ13" t="s">
        <v>51</v>
      </c>
    </row>
    <row r="14" spans="1:36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7</v>
      </c>
      <c r="J14" t="s">
        <v>8</v>
      </c>
      <c r="K14" t="s">
        <v>148</v>
      </c>
      <c r="L14" t="s">
        <v>163</v>
      </c>
      <c r="M14" t="s">
        <v>164</v>
      </c>
      <c r="N14" t="s">
        <v>165</v>
      </c>
      <c r="O14" s="2">
        <v>45234</v>
      </c>
      <c r="P14" t="s">
        <v>175</v>
      </c>
      <c r="Q14" t="s">
        <v>14</v>
      </c>
      <c r="R14" t="s">
        <v>167</v>
      </c>
      <c r="S14" t="s">
        <v>168</v>
      </c>
      <c r="T14" t="s">
        <v>169</v>
      </c>
      <c r="U14" t="s">
        <v>170</v>
      </c>
      <c r="V14" t="s">
        <v>119</v>
      </c>
      <c r="W14" t="s">
        <v>42</v>
      </c>
      <c r="X14" t="s">
        <v>43</v>
      </c>
      <c r="Y14" t="s">
        <v>44</v>
      </c>
      <c r="Z14" t="s">
        <v>171</v>
      </c>
      <c r="AA14" t="s">
        <v>46</v>
      </c>
      <c r="AB14" t="s">
        <v>47</v>
      </c>
      <c r="AC14" t="s">
        <v>176</v>
      </c>
      <c r="AD14" t="s">
        <v>27</v>
      </c>
      <c r="AE14" t="s">
        <v>173</v>
      </c>
      <c r="AF14" s="2">
        <v>45233</v>
      </c>
      <c r="AG14" t="s">
        <v>51</v>
      </c>
      <c r="AH14" t="s">
        <v>174</v>
      </c>
      <c r="AI14" s="2">
        <v>45233</v>
      </c>
      <c r="AJ14" t="s">
        <v>51</v>
      </c>
    </row>
    <row r="15" spans="1:36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7</v>
      </c>
      <c r="J15" t="s">
        <v>8</v>
      </c>
      <c r="K15" t="s">
        <v>148</v>
      </c>
      <c r="L15" t="s">
        <v>163</v>
      </c>
      <c r="M15" t="s">
        <v>164</v>
      </c>
      <c r="N15" t="s">
        <v>165</v>
      </c>
      <c r="O15" s="2">
        <v>45234</v>
      </c>
      <c r="P15" t="s">
        <v>175</v>
      </c>
      <c r="Q15" t="s">
        <v>114</v>
      </c>
      <c r="R15" t="s">
        <v>167</v>
      </c>
      <c r="S15" t="s">
        <v>168</v>
      </c>
      <c r="T15" t="s">
        <v>169</v>
      </c>
      <c r="U15" t="s">
        <v>170</v>
      </c>
      <c r="V15" t="s">
        <v>119</v>
      </c>
      <c r="W15" t="s">
        <v>42</v>
      </c>
      <c r="X15" t="s">
        <v>43</v>
      </c>
      <c r="Y15" t="s">
        <v>44</v>
      </c>
      <c r="Z15" t="s">
        <v>171</v>
      </c>
      <c r="AA15" t="s">
        <v>46</v>
      </c>
      <c r="AB15" t="s">
        <v>47</v>
      </c>
      <c r="AC15" t="s">
        <v>176</v>
      </c>
      <c r="AD15" t="s">
        <v>27</v>
      </c>
      <c r="AE15" t="s">
        <v>173</v>
      </c>
      <c r="AF15" s="2">
        <v>45233</v>
      </c>
      <c r="AG15" t="s">
        <v>51</v>
      </c>
      <c r="AH15" t="s">
        <v>174</v>
      </c>
      <c r="AI15" s="2">
        <v>45233</v>
      </c>
      <c r="AJ15" t="s">
        <v>51</v>
      </c>
    </row>
    <row r="16" spans="1:36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107</v>
      </c>
      <c r="J16" t="s">
        <v>108</v>
      </c>
      <c r="K16" t="s">
        <v>109</v>
      </c>
      <c r="L16" t="s">
        <v>110</v>
      </c>
      <c r="M16" t="s">
        <v>111</v>
      </c>
      <c r="N16" t="s">
        <v>112</v>
      </c>
      <c r="O16" s="2">
        <v>45234</v>
      </c>
      <c r="P16" t="s">
        <v>177</v>
      </c>
      <c r="Q16" t="s">
        <v>114</v>
      </c>
      <c r="R16" t="s">
        <v>178</v>
      </c>
      <c r="S16" t="s">
        <v>179</v>
      </c>
      <c r="T16" t="s">
        <v>180</v>
      </c>
      <c r="U16" t="s">
        <v>181</v>
      </c>
      <c r="V16" t="s">
        <v>119</v>
      </c>
      <c r="W16" t="s">
        <v>182</v>
      </c>
      <c r="X16" t="s">
        <v>21</v>
      </c>
      <c r="Y16" t="s">
        <v>22</v>
      </c>
      <c r="Z16" t="s">
        <v>122</v>
      </c>
      <c r="AA16" t="s">
        <v>24</v>
      </c>
      <c r="AB16" t="s">
        <v>183</v>
      </c>
      <c r="AC16" t="s">
        <v>184</v>
      </c>
      <c r="AD16" t="s">
        <v>27</v>
      </c>
      <c r="AE16" t="s">
        <v>185</v>
      </c>
      <c r="AF16" s="2">
        <v>45234</v>
      </c>
      <c r="AG16" t="s">
        <v>51</v>
      </c>
      <c r="AH16" t="s">
        <v>186</v>
      </c>
      <c r="AI16" s="2">
        <v>45234</v>
      </c>
      <c r="AJ16" t="s">
        <v>51</v>
      </c>
    </row>
    <row r="17" spans="1:36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107</v>
      </c>
      <c r="J17" t="s">
        <v>108</v>
      </c>
      <c r="K17" t="s">
        <v>109</v>
      </c>
      <c r="L17" t="s">
        <v>110</v>
      </c>
      <c r="M17" t="s">
        <v>111</v>
      </c>
      <c r="N17" t="s">
        <v>112</v>
      </c>
      <c r="O17" s="2">
        <v>45234</v>
      </c>
      <c r="P17" t="s">
        <v>187</v>
      </c>
      <c r="Q17" t="s">
        <v>114</v>
      </c>
      <c r="R17" t="s">
        <v>178</v>
      </c>
      <c r="S17" t="s">
        <v>179</v>
      </c>
      <c r="T17" t="s">
        <v>180</v>
      </c>
      <c r="U17" t="s">
        <v>181</v>
      </c>
      <c r="V17" t="s">
        <v>119</v>
      </c>
      <c r="W17" t="s">
        <v>182</v>
      </c>
      <c r="X17" t="s">
        <v>21</v>
      </c>
      <c r="Y17" t="s">
        <v>22</v>
      </c>
      <c r="Z17" t="s">
        <v>122</v>
      </c>
      <c r="AA17" t="s">
        <v>24</v>
      </c>
      <c r="AB17" t="s">
        <v>183</v>
      </c>
      <c r="AC17" t="s">
        <v>188</v>
      </c>
      <c r="AD17" t="s">
        <v>27</v>
      </c>
      <c r="AE17" t="s">
        <v>185</v>
      </c>
      <c r="AF17" s="2">
        <v>45234</v>
      </c>
      <c r="AG17" t="s">
        <v>51</v>
      </c>
      <c r="AH17" t="s">
        <v>186</v>
      </c>
      <c r="AI17" s="2">
        <v>45234</v>
      </c>
      <c r="AJ17" t="s">
        <v>51</v>
      </c>
    </row>
    <row r="18" spans="1:36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107</v>
      </c>
      <c r="J18" t="s">
        <v>108</v>
      </c>
      <c r="K18" t="s">
        <v>109</v>
      </c>
      <c r="L18" t="s">
        <v>110</v>
      </c>
      <c r="M18" t="s">
        <v>111</v>
      </c>
      <c r="N18" t="s">
        <v>112</v>
      </c>
      <c r="O18" s="2">
        <v>45234</v>
      </c>
      <c r="P18" t="s">
        <v>177</v>
      </c>
      <c r="Q18" t="s">
        <v>14</v>
      </c>
      <c r="R18" t="s">
        <v>178</v>
      </c>
      <c r="S18" t="s">
        <v>179</v>
      </c>
      <c r="T18" t="s">
        <v>180</v>
      </c>
      <c r="U18" t="s">
        <v>181</v>
      </c>
      <c r="V18" t="s">
        <v>119</v>
      </c>
      <c r="W18" t="s">
        <v>182</v>
      </c>
      <c r="X18" t="s">
        <v>21</v>
      </c>
      <c r="Y18" t="s">
        <v>22</v>
      </c>
      <c r="Z18" t="s">
        <v>122</v>
      </c>
      <c r="AA18" t="s">
        <v>24</v>
      </c>
      <c r="AB18" t="s">
        <v>183</v>
      </c>
      <c r="AC18" t="s">
        <v>184</v>
      </c>
      <c r="AD18" t="s">
        <v>27</v>
      </c>
      <c r="AE18" t="s">
        <v>185</v>
      </c>
      <c r="AF18" s="2">
        <v>45234</v>
      </c>
      <c r="AG18" t="s">
        <v>51</v>
      </c>
      <c r="AH18" t="s">
        <v>186</v>
      </c>
      <c r="AI18" s="2">
        <v>45234</v>
      </c>
      <c r="AJ18" t="s">
        <v>51</v>
      </c>
    </row>
    <row r="19" spans="1:36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107</v>
      </c>
      <c r="J19" t="s">
        <v>108</v>
      </c>
      <c r="K19" t="s">
        <v>109</v>
      </c>
      <c r="L19" t="s">
        <v>110</v>
      </c>
      <c r="M19" t="s">
        <v>111</v>
      </c>
      <c r="N19" t="s">
        <v>112</v>
      </c>
      <c r="O19" s="2">
        <v>45234</v>
      </c>
      <c r="P19" t="s">
        <v>187</v>
      </c>
      <c r="Q19" t="s">
        <v>14</v>
      </c>
      <c r="R19" t="s">
        <v>178</v>
      </c>
      <c r="S19" t="s">
        <v>179</v>
      </c>
      <c r="T19" t="s">
        <v>180</v>
      </c>
      <c r="U19" t="s">
        <v>181</v>
      </c>
      <c r="V19" t="s">
        <v>119</v>
      </c>
      <c r="W19" t="s">
        <v>182</v>
      </c>
      <c r="X19" t="s">
        <v>21</v>
      </c>
      <c r="Y19" t="s">
        <v>22</v>
      </c>
      <c r="Z19" t="s">
        <v>122</v>
      </c>
      <c r="AA19" t="s">
        <v>24</v>
      </c>
      <c r="AB19" t="s">
        <v>183</v>
      </c>
      <c r="AC19" t="s">
        <v>188</v>
      </c>
      <c r="AD19" t="s">
        <v>27</v>
      </c>
      <c r="AE19" t="s">
        <v>185</v>
      </c>
      <c r="AF19" s="2">
        <v>45234</v>
      </c>
      <c r="AG19" t="s">
        <v>51</v>
      </c>
      <c r="AH19" t="s">
        <v>186</v>
      </c>
      <c r="AI19" s="2">
        <v>45234</v>
      </c>
      <c r="AJ19" t="s">
        <v>51</v>
      </c>
    </row>
    <row r="20" spans="1:36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127</v>
      </c>
      <c r="J20" t="s">
        <v>128</v>
      </c>
      <c r="K20" t="s">
        <v>129</v>
      </c>
      <c r="L20" t="s">
        <v>189</v>
      </c>
      <c r="M20" t="s">
        <v>190</v>
      </c>
      <c r="N20" t="s">
        <v>191</v>
      </c>
      <c r="O20" s="2">
        <v>45234</v>
      </c>
      <c r="P20" t="s">
        <v>192</v>
      </c>
      <c r="Q20" t="s">
        <v>14</v>
      </c>
      <c r="R20" t="s">
        <v>193</v>
      </c>
      <c r="S20" t="s">
        <v>194</v>
      </c>
      <c r="T20" t="s">
        <v>195</v>
      </c>
      <c r="U20" t="s">
        <v>196</v>
      </c>
      <c r="V20" t="s">
        <v>119</v>
      </c>
      <c r="W20" t="s">
        <v>197</v>
      </c>
      <c r="X20" t="s">
        <v>43</v>
      </c>
      <c r="Y20" t="s">
        <v>198</v>
      </c>
      <c r="Z20" t="s">
        <v>141</v>
      </c>
      <c r="AA20" t="s">
        <v>46</v>
      </c>
      <c r="AB20" t="s">
        <v>199</v>
      </c>
      <c r="AC20" t="s">
        <v>200</v>
      </c>
      <c r="AD20" t="s">
        <v>27</v>
      </c>
      <c r="AE20" t="s">
        <v>201</v>
      </c>
      <c r="AF20" s="2">
        <v>45234</v>
      </c>
      <c r="AG20" t="s">
        <v>29</v>
      </c>
      <c r="AH20" t="s">
        <v>202</v>
      </c>
      <c r="AI20" s="2">
        <v>45234</v>
      </c>
      <c r="AJ20" t="s">
        <v>29</v>
      </c>
    </row>
    <row r="21" spans="1:36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127</v>
      </c>
      <c r="J21" t="s">
        <v>128</v>
      </c>
      <c r="K21" t="s">
        <v>129</v>
      </c>
      <c r="L21" t="s">
        <v>203</v>
      </c>
      <c r="M21" t="s">
        <v>204</v>
      </c>
      <c r="N21" t="s">
        <v>205</v>
      </c>
      <c r="O21" s="2">
        <v>45234</v>
      </c>
      <c r="P21" t="s">
        <v>206</v>
      </c>
      <c r="Q21" t="s">
        <v>14</v>
      </c>
      <c r="R21" t="s">
        <v>207</v>
      </c>
      <c r="S21" t="s">
        <v>208</v>
      </c>
      <c r="T21" t="s">
        <v>209</v>
      </c>
      <c r="U21" t="s">
        <v>210</v>
      </c>
      <c r="V21" t="s">
        <v>119</v>
      </c>
      <c r="W21" t="s">
        <v>211</v>
      </c>
      <c r="X21" t="s">
        <v>43</v>
      </c>
      <c r="Y21" t="s">
        <v>63</v>
      </c>
      <c r="Z21" t="s">
        <v>212</v>
      </c>
      <c r="AA21" t="s">
        <v>46</v>
      </c>
      <c r="AB21" t="s">
        <v>213</v>
      </c>
      <c r="AC21" t="s">
        <v>214</v>
      </c>
      <c r="AD21" t="s">
        <v>27</v>
      </c>
      <c r="AE21" t="s">
        <v>215</v>
      </c>
      <c r="AF21" s="2">
        <v>45234</v>
      </c>
      <c r="AG21" t="s">
        <v>29</v>
      </c>
      <c r="AH21" t="s">
        <v>216</v>
      </c>
      <c r="AI21" s="2">
        <v>45234</v>
      </c>
      <c r="AJ21" t="s">
        <v>29</v>
      </c>
    </row>
    <row r="22" spans="1:36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7</v>
      </c>
      <c r="J22" t="s">
        <v>8</v>
      </c>
      <c r="K22" t="s">
        <v>148</v>
      </c>
      <c r="L22" t="s">
        <v>149</v>
      </c>
      <c r="M22" t="s">
        <v>150</v>
      </c>
      <c r="N22" t="s">
        <v>151</v>
      </c>
      <c r="O22" s="2">
        <v>45234</v>
      </c>
      <c r="P22" t="s">
        <v>152</v>
      </c>
      <c r="Q22" t="s">
        <v>114</v>
      </c>
      <c r="R22" t="s">
        <v>153</v>
      </c>
      <c r="S22" t="s">
        <v>154</v>
      </c>
      <c r="T22" t="s">
        <v>155</v>
      </c>
      <c r="U22" t="s">
        <v>156</v>
      </c>
      <c r="V22" t="s">
        <v>98</v>
      </c>
      <c r="W22" t="s">
        <v>157</v>
      </c>
      <c r="X22" t="s">
        <v>100</v>
      </c>
      <c r="Y22" t="s">
        <v>158</v>
      </c>
      <c r="Z22" t="s">
        <v>23</v>
      </c>
      <c r="AA22" t="s">
        <v>24</v>
      </c>
      <c r="AB22" t="s">
        <v>159</v>
      </c>
      <c r="AC22" t="s">
        <v>160</v>
      </c>
      <c r="AD22" t="s">
        <v>27</v>
      </c>
      <c r="AE22" t="s">
        <v>161</v>
      </c>
      <c r="AF22" s="2">
        <v>45227</v>
      </c>
      <c r="AG22" t="s">
        <v>29</v>
      </c>
      <c r="AH22" t="s">
        <v>162</v>
      </c>
      <c r="AI22" s="2">
        <v>45233</v>
      </c>
      <c r="AJ22" t="s">
        <v>29</v>
      </c>
    </row>
    <row r="23" spans="1:36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107</v>
      </c>
      <c r="J23" t="s">
        <v>108</v>
      </c>
      <c r="K23" t="s">
        <v>109</v>
      </c>
      <c r="L23" t="s">
        <v>110</v>
      </c>
      <c r="M23" t="s">
        <v>111</v>
      </c>
      <c r="N23" t="s">
        <v>112</v>
      </c>
      <c r="O23" s="2">
        <v>45234</v>
      </c>
      <c r="P23" t="s">
        <v>217</v>
      </c>
      <c r="Q23" t="s">
        <v>218</v>
      </c>
      <c r="R23" t="s">
        <v>178</v>
      </c>
      <c r="S23" t="s">
        <v>179</v>
      </c>
      <c r="T23" t="s">
        <v>180</v>
      </c>
      <c r="U23" t="s">
        <v>181</v>
      </c>
      <c r="V23" t="s">
        <v>119</v>
      </c>
      <c r="W23" t="s">
        <v>182</v>
      </c>
      <c r="X23" t="s">
        <v>21</v>
      </c>
      <c r="Y23" t="s">
        <v>22</v>
      </c>
      <c r="Z23" t="s">
        <v>122</v>
      </c>
      <c r="AA23" t="s">
        <v>24</v>
      </c>
      <c r="AB23" t="s">
        <v>183</v>
      </c>
      <c r="AC23" t="s">
        <v>188</v>
      </c>
      <c r="AD23" t="s">
        <v>219</v>
      </c>
      <c r="AE23" t="s">
        <v>220</v>
      </c>
      <c r="AF23" s="2">
        <v>45229</v>
      </c>
      <c r="AG23" t="s">
        <v>51</v>
      </c>
      <c r="AH23" t="s">
        <v>221</v>
      </c>
      <c r="AI23" s="2">
        <v>45229</v>
      </c>
      <c r="AJ23" t="s">
        <v>51</v>
      </c>
    </row>
    <row r="24" spans="1:36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107</v>
      </c>
      <c r="J24" t="s">
        <v>108</v>
      </c>
      <c r="K24" t="s">
        <v>109</v>
      </c>
      <c r="L24" t="s">
        <v>110</v>
      </c>
      <c r="M24" t="s">
        <v>111</v>
      </c>
      <c r="N24" t="s">
        <v>112</v>
      </c>
      <c r="O24" s="2">
        <v>45234</v>
      </c>
      <c r="P24" t="s">
        <v>222</v>
      </c>
      <c r="Q24" t="s">
        <v>218</v>
      </c>
      <c r="R24" t="s">
        <v>178</v>
      </c>
      <c r="S24" t="s">
        <v>179</v>
      </c>
      <c r="T24" t="s">
        <v>180</v>
      </c>
      <c r="U24" t="s">
        <v>181</v>
      </c>
      <c r="V24" t="s">
        <v>119</v>
      </c>
      <c r="W24" t="s">
        <v>182</v>
      </c>
      <c r="X24" t="s">
        <v>21</v>
      </c>
      <c r="Y24" t="s">
        <v>22</v>
      </c>
      <c r="Z24" t="s">
        <v>122</v>
      </c>
      <c r="AA24" t="s">
        <v>24</v>
      </c>
      <c r="AB24" t="s">
        <v>183</v>
      </c>
      <c r="AC24" t="s">
        <v>184</v>
      </c>
      <c r="AD24" t="s">
        <v>219</v>
      </c>
      <c r="AE24" t="s">
        <v>220</v>
      </c>
      <c r="AF24" s="2">
        <v>45229</v>
      </c>
      <c r="AG24" t="s">
        <v>51</v>
      </c>
      <c r="AH24" t="s">
        <v>221</v>
      </c>
      <c r="AI24" s="2">
        <v>45229</v>
      </c>
      <c r="AJ24" t="s">
        <v>51</v>
      </c>
    </row>
    <row r="25" spans="1:36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75</v>
      </c>
      <c r="J25" t="s">
        <v>76</v>
      </c>
      <c r="K25" t="s">
        <v>77</v>
      </c>
      <c r="L25" t="s">
        <v>90</v>
      </c>
      <c r="M25" t="s">
        <v>91</v>
      </c>
      <c r="N25" t="s">
        <v>92</v>
      </c>
      <c r="O25" s="2">
        <v>45234</v>
      </c>
      <c r="P25" t="s">
        <v>93</v>
      </c>
      <c r="Q25" t="s">
        <v>114</v>
      </c>
      <c r="R25" t="s">
        <v>94</v>
      </c>
      <c r="S25" t="s">
        <v>95</v>
      </c>
      <c r="T25" t="s">
        <v>96</v>
      </c>
      <c r="U25" t="s">
        <v>97</v>
      </c>
      <c r="V25" t="s">
        <v>98</v>
      </c>
      <c r="W25" t="s">
        <v>99</v>
      </c>
      <c r="X25" t="s">
        <v>100</v>
      </c>
      <c r="Y25" t="s">
        <v>101</v>
      </c>
      <c r="Z25" t="s">
        <v>102</v>
      </c>
      <c r="AA25" t="s">
        <v>24</v>
      </c>
      <c r="AB25" t="s">
        <v>103</v>
      </c>
      <c r="AC25" t="s">
        <v>104</v>
      </c>
      <c r="AD25" t="s">
        <v>27</v>
      </c>
      <c r="AE25" t="s">
        <v>105</v>
      </c>
      <c r="AF25" s="2">
        <v>45189</v>
      </c>
      <c r="AG25" t="s">
        <v>29</v>
      </c>
      <c r="AH25" t="s">
        <v>106</v>
      </c>
      <c r="AI25" s="2">
        <v>45226</v>
      </c>
      <c r="AJ25" t="s">
        <v>29</v>
      </c>
    </row>
    <row r="26" spans="1:36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7</v>
      </c>
      <c r="J26" t="s">
        <v>8</v>
      </c>
      <c r="K26" t="s">
        <v>148</v>
      </c>
      <c r="L26" t="s">
        <v>163</v>
      </c>
      <c r="M26" t="s">
        <v>164</v>
      </c>
      <c r="N26" t="s">
        <v>165</v>
      </c>
      <c r="O26" s="2">
        <v>45234</v>
      </c>
      <c r="P26" t="s">
        <v>166</v>
      </c>
      <c r="Q26" t="s">
        <v>14</v>
      </c>
      <c r="R26" t="s">
        <v>167</v>
      </c>
      <c r="S26" t="s">
        <v>168</v>
      </c>
      <c r="T26" t="s">
        <v>169</v>
      </c>
      <c r="U26" t="s">
        <v>170</v>
      </c>
      <c r="V26" t="s">
        <v>119</v>
      </c>
      <c r="W26" t="s">
        <v>42</v>
      </c>
      <c r="X26" t="s">
        <v>43</v>
      </c>
      <c r="Y26" t="s">
        <v>44</v>
      </c>
      <c r="Z26" t="s">
        <v>171</v>
      </c>
      <c r="AA26" t="s">
        <v>46</v>
      </c>
      <c r="AB26" t="s">
        <v>47</v>
      </c>
      <c r="AC26" t="s">
        <v>172</v>
      </c>
      <c r="AD26" t="s">
        <v>27</v>
      </c>
      <c r="AE26" t="s">
        <v>173</v>
      </c>
      <c r="AF26" s="2">
        <v>45233</v>
      </c>
      <c r="AG26" t="s">
        <v>51</v>
      </c>
      <c r="AH26" t="s">
        <v>174</v>
      </c>
      <c r="AI26" s="2">
        <v>45233</v>
      </c>
      <c r="AJ26" t="s">
        <v>51</v>
      </c>
    </row>
    <row r="27" spans="1:36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7</v>
      </c>
      <c r="J27" t="s">
        <v>8</v>
      </c>
      <c r="K27" t="s">
        <v>148</v>
      </c>
      <c r="L27" t="s">
        <v>163</v>
      </c>
      <c r="M27" t="s">
        <v>164</v>
      </c>
      <c r="N27" t="s">
        <v>165</v>
      </c>
      <c r="O27" s="2">
        <v>45234</v>
      </c>
      <c r="P27" t="s">
        <v>223</v>
      </c>
      <c r="Q27" t="s">
        <v>14</v>
      </c>
      <c r="R27" t="s">
        <v>224</v>
      </c>
      <c r="S27" t="s">
        <v>225</v>
      </c>
      <c r="T27" t="s">
        <v>226</v>
      </c>
      <c r="U27" t="s">
        <v>227</v>
      </c>
      <c r="V27" t="s">
        <v>119</v>
      </c>
      <c r="W27" t="s">
        <v>99</v>
      </c>
      <c r="X27" t="s">
        <v>100</v>
      </c>
      <c r="Y27" t="s">
        <v>101</v>
      </c>
      <c r="Z27" t="s">
        <v>228</v>
      </c>
      <c r="AA27" t="s">
        <v>24</v>
      </c>
      <c r="AB27" t="s">
        <v>103</v>
      </c>
      <c r="AC27" t="s">
        <v>229</v>
      </c>
      <c r="AD27" t="s">
        <v>27</v>
      </c>
      <c r="AE27" t="s">
        <v>230</v>
      </c>
      <c r="AF27" s="2">
        <v>45231</v>
      </c>
      <c r="AG27" t="s">
        <v>29</v>
      </c>
      <c r="AH27" t="s">
        <v>231</v>
      </c>
      <c r="AI27" s="2">
        <v>45233</v>
      </c>
      <c r="AJ27" t="s">
        <v>29</v>
      </c>
    </row>
    <row r="28" spans="1:36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7</v>
      </c>
      <c r="J28" t="s">
        <v>8</v>
      </c>
      <c r="K28" t="s">
        <v>148</v>
      </c>
      <c r="L28" t="s">
        <v>163</v>
      </c>
      <c r="M28" t="s">
        <v>164</v>
      </c>
      <c r="N28" t="s">
        <v>165</v>
      </c>
      <c r="O28" s="2">
        <v>45234</v>
      </c>
      <c r="P28" t="s">
        <v>223</v>
      </c>
      <c r="Q28" t="s">
        <v>114</v>
      </c>
      <c r="R28" t="s">
        <v>224</v>
      </c>
      <c r="S28" t="s">
        <v>225</v>
      </c>
      <c r="T28" t="s">
        <v>226</v>
      </c>
      <c r="U28" t="s">
        <v>227</v>
      </c>
      <c r="V28" t="s">
        <v>119</v>
      </c>
      <c r="W28" t="s">
        <v>99</v>
      </c>
      <c r="X28" t="s">
        <v>100</v>
      </c>
      <c r="Y28" t="s">
        <v>101</v>
      </c>
      <c r="Z28" t="s">
        <v>228</v>
      </c>
      <c r="AA28" t="s">
        <v>24</v>
      </c>
      <c r="AB28" t="s">
        <v>103</v>
      </c>
      <c r="AC28" t="s">
        <v>229</v>
      </c>
      <c r="AD28" t="s">
        <v>27</v>
      </c>
      <c r="AE28" t="s">
        <v>230</v>
      </c>
      <c r="AF28" s="2">
        <v>45231</v>
      </c>
      <c r="AG28" t="s">
        <v>29</v>
      </c>
      <c r="AH28" t="s">
        <v>231</v>
      </c>
      <c r="AI28" s="2">
        <v>45233</v>
      </c>
      <c r="AJ28" t="s">
        <v>29</v>
      </c>
    </row>
    <row r="29" spans="1:36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75</v>
      </c>
      <c r="J29" t="s">
        <v>76</v>
      </c>
      <c r="K29" t="s">
        <v>77</v>
      </c>
      <c r="L29" t="s">
        <v>78</v>
      </c>
      <c r="M29" t="s">
        <v>79</v>
      </c>
      <c r="N29" t="s">
        <v>80</v>
      </c>
      <c r="O29" s="2">
        <v>45234</v>
      </c>
      <c r="P29" t="s">
        <v>232</v>
      </c>
      <c r="Q29" t="s">
        <v>14</v>
      </c>
      <c r="R29" t="s">
        <v>82</v>
      </c>
      <c r="S29" t="s">
        <v>83</v>
      </c>
      <c r="T29" t="s">
        <v>84</v>
      </c>
      <c r="U29" t="s">
        <v>85</v>
      </c>
      <c r="V29" t="s">
        <v>119</v>
      </c>
      <c r="W29" t="s">
        <v>62</v>
      </c>
      <c r="X29" t="s">
        <v>43</v>
      </c>
      <c r="Y29" t="s">
        <v>63</v>
      </c>
      <c r="Z29" t="s">
        <v>86</v>
      </c>
      <c r="AA29" t="s">
        <v>46</v>
      </c>
      <c r="AB29" t="s">
        <v>87</v>
      </c>
      <c r="AC29" t="s">
        <v>233</v>
      </c>
      <c r="AD29" t="s">
        <v>27</v>
      </c>
      <c r="AE29" t="s">
        <v>234</v>
      </c>
      <c r="AF29" s="2">
        <v>45231</v>
      </c>
      <c r="AG29" t="s">
        <v>29</v>
      </c>
      <c r="AH29" t="s">
        <v>235</v>
      </c>
      <c r="AI29" s="2">
        <v>45231</v>
      </c>
      <c r="AJ29" t="s">
        <v>29</v>
      </c>
    </row>
    <row r="30" spans="1:36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75</v>
      </c>
      <c r="J30" t="s">
        <v>76</v>
      </c>
      <c r="K30" t="s">
        <v>77</v>
      </c>
      <c r="L30" t="s">
        <v>78</v>
      </c>
      <c r="M30" t="s">
        <v>79</v>
      </c>
      <c r="N30" t="s">
        <v>80</v>
      </c>
      <c r="O30" s="2">
        <v>45234</v>
      </c>
      <c r="P30" t="s">
        <v>232</v>
      </c>
      <c r="Q30" t="s">
        <v>114</v>
      </c>
      <c r="R30" t="s">
        <v>82</v>
      </c>
      <c r="S30" t="s">
        <v>83</v>
      </c>
      <c r="T30" t="s">
        <v>84</v>
      </c>
      <c r="U30" t="s">
        <v>85</v>
      </c>
      <c r="V30" t="s">
        <v>119</v>
      </c>
      <c r="W30" t="s">
        <v>62</v>
      </c>
      <c r="X30" t="s">
        <v>43</v>
      </c>
      <c r="Y30" t="s">
        <v>63</v>
      </c>
      <c r="Z30" t="s">
        <v>86</v>
      </c>
      <c r="AA30" t="s">
        <v>46</v>
      </c>
      <c r="AB30" t="s">
        <v>87</v>
      </c>
      <c r="AC30" t="s">
        <v>233</v>
      </c>
      <c r="AD30" t="s">
        <v>27</v>
      </c>
      <c r="AE30" t="s">
        <v>234</v>
      </c>
      <c r="AF30" s="2">
        <v>45231</v>
      </c>
      <c r="AG30" t="s">
        <v>29</v>
      </c>
      <c r="AH30" t="s">
        <v>235</v>
      </c>
      <c r="AI30" s="2">
        <v>45231</v>
      </c>
      <c r="AJ30" t="s">
        <v>29</v>
      </c>
    </row>
    <row r="31" spans="1:36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107</v>
      </c>
      <c r="J31" t="s">
        <v>108</v>
      </c>
      <c r="K31" t="s">
        <v>236</v>
      </c>
      <c r="L31" t="s">
        <v>237</v>
      </c>
      <c r="M31" t="s">
        <v>238</v>
      </c>
      <c r="N31" t="s">
        <v>239</v>
      </c>
      <c r="O31" s="2">
        <v>45236</v>
      </c>
      <c r="P31" t="s">
        <v>240</v>
      </c>
      <c r="Q31" t="s">
        <v>14</v>
      </c>
      <c r="R31" t="s">
        <v>241</v>
      </c>
      <c r="S31" t="s">
        <v>242</v>
      </c>
      <c r="T31" t="s">
        <v>243</v>
      </c>
      <c r="U31" t="s">
        <v>244</v>
      </c>
      <c r="V31" t="s">
        <v>119</v>
      </c>
      <c r="W31" t="s">
        <v>245</v>
      </c>
      <c r="X31" t="s">
        <v>21</v>
      </c>
      <c r="Y31" t="s">
        <v>22</v>
      </c>
      <c r="Z31" t="s">
        <v>246</v>
      </c>
      <c r="AA31" t="s">
        <v>247</v>
      </c>
      <c r="AB31" t="s">
        <v>248</v>
      </c>
      <c r="AC31" t="s">
        <v>249</v>
      </c>
      <c r="AD31" t="s">
        <v>27</v>
      </c>
      <c r="AE31" t="s">
        <v>250</v>
      </c>
      <c r="AF31" s="2">
        <v>45232</v>
      </c>
      <c r="AG31" t="s">
        <v>29</v>
      </c>
      <c r="AH31" t="s">
        <v>251</v>
      </c>
      <c r="AI31" s="2">
        <v>45232</v>
      </c>
      <c r="AJ31" t="s">
        <v>29</v>
      </c>
    </row>
    <row r="32" spans="1:36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107</v>
      </c>
      <c r="J32" t="s">
        <v>108</v>
      </c>
      <c r="K32" t="s">
        <v>236</v>
      </c>
      <c r="L32" t="s">
        <v>237</v>
      </c>
      <c r="M32" t="s">
        <v>238</v>
      </c>
      <c r="N32" t="s">
        <v>239</v>
      </c>
      <c r="O32" s="2">
        <v>45236</v>
      </c>
      <c r="P32" t="s">
        <v>240</v>
      </c>
      <c r="Q32" t="s">
        <v>114</v>
      </c>
      <c r="R32" t="s">
        <v>241</v>
      </c>
      <c r="S32" t="s">
        <v>242</v>
      </c>
      <c r="T32" t="s">
        <v>243</v>
      </c>
      <c r="U32" t="s">
        <v>244</v>
      </c>
      <c r="V32" t="s">
        <v>119</v>
      </c>
      <c r="W32" t="s">
        <v>245</v>
      </c>
      <c r="X32" t="s">
        <v>21</v>
      </c>
      <c r="Y32" t="s">
        <v>22</v>
      </c>
      <c r="Z32" t="s">
        <v>246</v>
      </c>
      <c r="AA32" t="s">
        <v>247</v>
      </c>
      <c r="AB32" t="s">
        <v>248</v>
      </c>
      <c r="AC32" t="s">
        <v>249</v>
      </c>
      <c r="AD32" t="s">
        <v>27</v>
      </c>
      <c r="AE32" t="s">
        <v>250</v>
      </c>
      <c r="AF32" s="2">
        <v>45232</v>
      </c>
      <c r="AG32" t="s">
        <v>29</v>
      </c>
      <c r="AH32" t="s">
        <v>251</v>
      </c>
      <c r="AI32" s="2">
        <v>45232</v>
      </c>
      <c r="AJ32" t="s">
        <v>29</v>
      </c>
    </row>
    <row r="33" spans="1:36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107</v>
      </c>
      <c r="J33" t="s">
        <v>108</v>
      </c>
      <c r="K33" t="s">
        <v>236</v>
      </c>
      <c r="L33" t="s">
        <v>237</v>
      </c>
      <c r="M33" t="s">
        <v>238</v>
      </c>
      <c r="N33" t="s">
        <v>239</v>
      </c>
      <c r="O33" s="2">
        <v>45236</v>
      </c>
      <c r="P33" t="s">
        <v>252</v>
      </c>
      <c r="Q33" t="s">
        <v>14</v>
      </c>
      <c r="R33" t="s">
        <v>253</v>
      </c>
      <c r="S33" t="s">
        <v>254</v>
      </c>
      <c r="T33" t="s">
        <v>255</v>
      </c>
      <c r="U33" t="s">
        <v>256</v>
      </c>
      <c r="V33" t="s">
        <v>119</v>
      </c>
      <c r="W33" t="s">
        <v>245</v>
      </c>
      <c r="X33" t="s">
        <v>21</v>
      </c>
      <c r="Y33" t="s">
        <v>22</v>
      </c>
      <c r="Z33" t="s">
        <v>246</v>
      </c>
      <c r="AA33" t="s">
        <v>46</v>
      </c>
      <c r="AB33" t="s">
        <v>257</v>
      </c>
      <c r="AC33" t="s">
        <v>258</v>
      </c>
      <c r="AD33" t="s">
        <v>27</v>
      </c>
      <c r="AE33" t="s">
        <v>259</v>
      </c>
      <c r="AF33" s="2">
        <v>45231</v>
      </c>
      <c r="AG33" t="s">
        <v>29</v>
      </c>
      <c r="AH33" t="s">
        <v>260</v>
      </c>
      <c r="AI33" s="2">
        <v>45231</v>
      </c>
      <c r="AJ33" t="s">
        <v>29</v>
      </c>
    </row>
    <row r="34" spans="1:36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107</v>
      </c>
      <c r="J34" t="s">
        <v>108</v>
      </c>
      <c r="K34" t="s">
        <v>236</v>
      </c>
      <c r="L34" t="s">
        <v>237</v>
      </c>
      <c r="M34" t="s">
        <v>238</v>
      </c>
      <c r="N34" t="s">
        <v>239</v>
      </c>
      <c r="O34" s="2">
        <v>45236</v>
      </c>
      <c r="P34" t="s">
        <v>252</v>
      </c>
      <c r="Q34" t="s">
        <v>114</v>
      </c>
      <c r="R34" t="s">
        <v>253</v>
      </c>
      <c r="S34" t="s">
        <v>254</v>
      </c>
      <c r="T34" t="s">
        <v>255</v>
      </c>
      <c r="U34" t="s">
        <v>256</v>
      </c>
      <c r="V34" t="s">
        <v>119</v>
      </c>
      <c r="W34" t="s">
        <v>245</v>
      </c>
      <c r="X34" t="s">
        <v>21</v>
      </c>
      <c r="Y34" t="s">
        <v>22</v>
      </c>
      <c r="Z34" t="s">
        <v>246</v>
      </c>
      <c r="AA34" t="s">
        <v>46</v>
      </c>
      <c r="AB34" t="s">
        <v>257</v>
      </c>
      <c r="AC34" t="s">
        <v>258</v>
      </c>
      <c r="AD34" t="s">
        <v>27</v>
      </c>
      <c r="AE34" t="s">
        <v>259</v>
      </c>
      <c r="AF34" s="2">
        <v>45231</v>
      </c>
      <c r="AG34" t="s">
        <v>29</v>
      </c>
      <c r="AH34" t="s">
        <v>260</v>
      </c>
      <c r="AI34" s="2">
        <v>45231</v>
      </c>
      <c r="AJ34" t="s">
        <v>29</v>
      </c>
    </row>
    <row r="35" spans="1:36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261</v>
      </c>
      <c r="J35" t="s">
        <v>262</v>
      </c>
      <c r="K35" t="s">
        <v>263</v>
      </c>
      <c r="L35" t="s">
        <v>264</v>
      </c>
      <c r="M35" t="s">
        <v>265</v>
      </c>
      <c r="N35" t="s">
        <v>266</v>
      </c>
      <c r="O35" s="2">
        <v>45236</v>
      </c>
      <c r="P35" t="s">
        <v>267</v>
      </c>
      <c r="Q35" t="s">
        <v>14</v>
      </c>
      <c r="R35" t="s">
        <v>268</v>
      </c>
      <c r="S35" t="s">
        <v>269</v>
      </c>
      <c r="T35" t="s">
        <v>270</v>
      </c>
      <c r="U35" t="s">
        <v>271</v>
      </c>
      <c r="V35" t="s">
        <v>19</v>
      </c>
      <c r="W35" t="s">
        <v>272</v>
      </c>
      <c r="X35" t="s">
        <v>43</v>
      </c>
      <c r="Y35" t="s">
        <v>198</v>
      </c>
      <c r="Z35" t="s">
        <v>273</v>
      </c>
      <c r="AA35" t="s">
        <v>46</v>
      </c>
      <c r="AB35" t="s">
        <v>274</v>
      </c>
      <c r="AC35" t="s">
        <v>26</v>
      </c>
      <c r="AD35" t="s">
        <v>27</v>
      </c>
      <c r="AE35" t="s">
        <v>275</v>
      </c>
      <c r="AF35" s="2">
        <v>45230</v>
      </c>
      <c r="AG35" t="s">
        <v>29</v>
      </c>
      <c r="AH35" t="s">
        <v>276</v>
      </c>
      <c r="AI35" s="2">
        <v>45236</v>
      </c>
      <c r="AJ35" t="s">
        <v>29</v>
      </c>
    </row>
    <row r="36" spans="1:36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261</v>
      </c>
      <c r="J36" t="s">
        <v>262</v>
      </c>
      <c r="K36" t="s">
        <v>263</v>
      </c>
      <c r="L36" t="s">
        <v>264</v>
      </c>
      <c r="M36" t="s">
        <v>265</v>
      </c>
      <c r="N36" t="s">
        <v>266</v>
      </c>
      <c r="O36" s="2">
        <v>45237</v>
      </c>
      <c r="P36" t="s">
        <v>277</v>
      </c>
      <c r="Q36" t="s">
        <v>14</v>
      </c>
      <c r="R36" t="s">
        <v>268</v>
      </c>
      <c r="S36" t="s">
        <v>269</v>
      </c>
      <c r="T36" t="s">
        <v>270</v>
      </c>
      <c r="U36" t="s">
        <v>271</v>
      </c>
      <c r="V36" t="s">
        <v>119</v>
      </c>
      <c r="W36" t="s">
        <v>272</v>
      </c>
      <c r="X36" t="s">
        <v>43</v>
      </c>
      <c r="Y36" t="s">
        <v>198</v>
      </c>
      <c r="Z36" t="s">
        <v>273</v>
      </c>
      <c r="AA36" t="s">
        <v>46</v>
      </c>
      <c r="AB36" t="s">
        <v>278</v>
      </c>
      <c r="AC36" t="s">
        <v>279</v>
      </c>
      <c r="AD36" t="s">
        <v>27</v>
      </c>
      <c r="AE36" t="s">
        <v>280</v>
      </c>
      <c r="AF36" s="2">
        <v>45236</v>
      </c>
      <c r="AG36" t="s">
        <v>29</v>
      </c>
      <c r="AH36" t="s">
        <v>281</v>
      </c>
      <c r="AI36" s="2">
        <v>45236</v>
      </c>
      <c r="AJ36" t="s">
        <v>29</v>
      </c>
    </row>
    <row r="37" spans="1:36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261</v>
      </c>
      <c r="J37" t="s">
        <v>262</v>
      </c>
      <c r="K37" t="s">
        <v>263</v>
      </c>
      <c r="L37" t="s">
        <v>264</v>
      </c>
      <c r="M37" t="s">
        <v>265</v>
      </c>
      <c r="N37" t="s">
        <v>266</v>
      </c>
      <c r="O37" s="2">
        <v>45237</v>
      </c>
      <c r="P37" t="s">
        <v>277</v>
      </c>
      <c r="Q37" t="s">
        <v>114</v>
      </c>
      <c r="R37" t="s">
        <v>268</v>
      </c>
      <c r="S37" t="s">
        <v>269</v>
      </c>
      <c r="T37" t="s">
        <v>270</v>
      </c>
      <c r="U37" t="s">
        <v>271</v>
      </c>
      <c r="V37" t="s">
        <v>119</v>
      </c>
      <c r="W37" t="s">
        <v>272</v>
      </c>
      <c r="X37" t="s">
        <v>43</v>
      </c>
      <c r="Y37" t="s">
        <v>198</v>
      </c>
      <c r="Z37" t="s">
        <v>273</v>
      </c>
      <c r="AA37" t="s">
        <v>46</v>
      </c>
      <c r="AB37" t="s">
        <v>278</v>
      </c>
      <c r="AC37" t="s">
        <v>279</v>
      </c>
      <c r="AD37" t="s">
        <v>27</v>
      </c>
      <c r="AE37" t="s">
        <v>280</v>
      </c>
      <c r="AF37" s="2">
        <v>45236</v>
      </c>
      <c r="AG37" t="s">
        <v>29</v>
      </c>
      <c r="AH37" t="s">
        <v>281</v>
      </c>
      <c r="AI37" s="2">
        <v>45236</v>
      </c>
      <c r="AJ37" t="s">
        <v>29</v>
      </c>
    </row>
    <row r="38" spans="1:36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7</v>
      </c>
      <c r="J38" t="s">
        <v>8</v>
      </c>
      <c r="K38" t="s">
        <v>9</v>
      </c>
      <c r="L38" t="s">
        <v>282</v>
      </c>
      <c r="M38" t="s">
        <v>283</v>
      </c>
      <c r="N38" t="s">
        <v>284</v>
      </c>
      <c r="O38" s="2">
        <v>45237</v>
      </c>
      <c r="P38" t="s">
        <v>285</v>
      </c>
      <c r="Q38" t="s">
        <v>114</v>
      </c>
      <c r="R38" t="s">
        <v>286</v>
      </c>
      <c r="S38" t="s">
        <v>287</v>
      </c>
      <c r="T38" t="s">
        <v>288</v>
      </c>
      <c r="U38" t="s">
        <v>289</v>
      </c>
      <c r="V38" t="s">
        <v>119</v>
      </c>
      <c r="W38" t="s">
        <v>20</v>
      </c>
      <c r="X38" t="s">
        <v>21</v>
      </c>
      <c r="Y38" t="s">
        <v>22</v>
      </c>
      <c r="Z38" t="s">
        <v>228</v>
      </c>
      <c r="AA38" t="s">
        <v>24</v>
      </c>
      <c r="AB38" t="s">
        <v>25</v>
      </c>
      <c r="AC38" t="s">
        <v>290</v>
      </c>
      <c r="AD38" t="s">
        <v>27</v>
      </c>
      <c r="AE38" t="s">
        <v>291</v>
      </c>
      <c r="AF38" s="2">
        <v>45226</v>
      </c>
      <c r="AG38" t="s">
        <v>29</v>
      </c>
      <c r="AH38" t="s">
        <v>292</v>
      </c>
      <c r="AI38" s="2">
        <v>45237</v>
      </c>
      <c r="AJ38" t="s">
        <v>29</v>
      </c>
    </row>
    <row r="39" spans="1:36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7</v>
      </c>
      <c r="J39" t="s">
        <v>8</v>
      </c>
      <c r="K39" t="s">
        <v>9</v>
      </c>
      <c r="L39" t="s">
        <v>282</v>
      </c>
      <c r="M39" t="s">
        <v>283</v>
      </c>
      <c r="N39" t="s">
        <v>284</v>
      </c>
      <c r="O39" s="2">
        <v>45237</v>
      </c>
      <c r="P39" t="s">
        <v>285</v>
      </c>
      <c r="Q39" t="s">
        <v>14</v>
      </c>
      <c r="R39" t="s">
        <v>286</v>
      </c>
      <c r="S39" t="s">
        <v>287</v>
      </c>
      <c r="T39" t="s">
        <v>288</v>
      </c>
      <c r="U39" t="s">
        <v>289</v>
      </c>
      <c r="V39" t="s">
        <v>119</v>
      </c>
      <c r="W39" t="s">
        <v>20</v>
      </c>
      <c r="X39" t="s">
        <v>21</v>
      </c>
      <c r="Y39" t="s">
        <v>22</v>
      </c>
      <c r="Z39" t="s">
        <v>228</v>
      </c>
      <c r="AA39" t="s">
        <v>24</v>
      </c>
      <c r="AB39" t="s">
        <v>25</v>
      </c>
      <c r="AC39" t="s">
        <v>290</v>
      </c>
      <c r="AD39" t="s">
        <v>27</v>
      </c>
      <c r="AE39" t="s">
        <v>291</v>
      </c>
      <c r="AF39" s="2">
        <v>45226</v>
      </c>
      <c r="AG39" t="s">
        <v>29</v>
      </c>
      <c r="AH39" t="s">
        <v>292</v>
      </c>
      <c r="AI39" s="2">
        <v>45237</v>
      </c>
      <c r="AJ39" t="s">
        <v>29</v>
      </c>
    </row>
    <row r="40" spans="1:36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52</v>
      </c>
      <c r="J40" t="s">
        <v>53</v>
      </c>
      <c r="K40" t="s">
        <v>293</v>
      </c>
      <c r="L40" t="s">
        <v>294</v>
      </c>
      <c r="M40" t="s">
        <v>295</v>
      </c>
      <c r="N40" t="s">
        <v>296</v>
      </c>
      <c r="O40" s="2">
        <v>45237</v>
      </c>
      <c r="P40" t="s">
        <v>297</v>
      </c>
      <c r="Q40" t="s">
        <v>14</v>
      </c>
      <c r="R40" t="s">
        <v>298</v>
      </c>
      <c r="S40" t="s">
        <v>299</v>
      </c>
      <c r="T40" t="s">
        <v>300</v>
      </c>
      <c r="U40" t="s">
        <v>301</v>
      </c>
      <c r="V40" t="s">
        <v>119</v>
      </c>
      <c r="W40" t="s">
        <v>20</v>
      </c>
      <c r="X40" t="s">
        <v>21</v>
      </c>
      <c r="Y40" t="s">
        <v>22</v>
      </c>
      <c r="Z40" t="s">
        <v>64</v>
      </c>
      <c r="AA40" t="s">
        <v>24</v>
      </c>
      <c r="AB40" t="s">
        <v>25</v>
      </c>
      <c r="AC40" t="s">
        <v>302</v>
      </c>
      <c r="AD40" t="s">
        <v>27</v>
      </c>
      <c r="AE40" t="s">
        <v>303</v>
      </c>
      <c r="AF40" s="2">
        <v>45217</v>
      </c>
      <c r="AG40" t="s">
        <v>29</v>
      </c>
      <c r="AH40" t="s">
        <v>304</v>
      </c>
      <c r="AI40" s="2">
        <v>45230</v>
      </c>
      <c r="AJ40" t="s">
        <v>29</v>
      </c>
    </row>
    <row r="41" spans="1:36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52</v>
      </c>
      <c r="J41" t="s">
        <v>53</v>
      </c>
      <c r="K41" t="s">
        <v>293</v>
      </c>
      <c r="L41" t="s">
        <v>294</v>
      </c>
      <c r="M41" t="s">
        <v>295</v>
      </c>
      <c r="N41" t="s">
        <v>296</v>
      </c>
      <c r="O41" s="2">
        <v>45237</v>
      </c>
      <c r="P41" t="s">
        <v>297</v>
      </c>
      <c r="Q41" t="s">
        <v>114</v>
      </c>
      <c r="R41" t="s">
        <v>298</v>
      </c>
      <c r="S41" t="s">
        <v>299</v>
      </c>
      <c r="T41" t="s">
        <v>300</v>
      </c>
      <c r="U41" t="s">
        <v>301</v>
      </c>
      <c r="V41" t="s">
        <v>119</v>
      </c>
      <c r="W41" t="s">
        <v>20</v>
      </c>
      <c r="X41" t="s">
        <v>21</v>
      </c>
      <c r="Y41" t="s">
        <v>22</v>
      </c>
      <c r="Z41" t="s">
        <v>64</v>
      </c>
      <c r="AA41" t="s">
        <v>24</v>
      </c>
      <c r="AB41" t="s">
        <v>25</v>
      </c>
      <c r="AC41" t="s">
        <v>302</v>
      </c>
      <c r="AD41" t="s">
        <v>27</v>
      </c>
      <c r="AE41" t="s">
        <v>303</v>
      </c>
      <c r="AF41" s="2">
        <v>45217</v>
      </c>
      <c r="AG41" t="s">
        <v>29</v>
      </c>
      <c r="AH41" t="s">
        <v>304</v>
      </c>
      <c r="AI41" s="2">
        <v>45230</v>
      </c>
      <c r="AJ41" t="s">
        <v>29</v>
      </c>
    </row>
    <row r="42" spans="1:36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127</v>
      </c>
      <c r="J42" t="s">
        <v>128</v>
      </c>
      <c r="K42" t="s">
        <v>129</v>
      </c>
      <c r="L42" t="s">
        <v>130</v>
      </c>
      <c r="M42" t="s">
        <v>131</v>
      </c>
      <c r="N42" t="s">
        <v>132</v>
      </c>
      <c r="O42" s="2">
        <v>45238</v>
      </c>
      <c r="P42" t="s">
        <v>305</v>
      </c>
      <c r="Q42" t="s">
        <v>14</v>
      </c>
      <c r="R42" t="s">
        <v>306</v>
      </c>
      <c r="S42" t="s">
        <v>307</v>
      </c>
      <c r="T42" t="s">
        <v>308</v>
      </c>
      <c r="U42" t="s">
        <v>309</v>
      </c>
      <c r="V42" t="s">
        <v>98</v>
      </c>
      <c r="W42" t="s">
        <v>310</v>
      </c>
      <c r="X42" t="s">
        <v>311</v>
      </c>
      <c r="Y42" t="s">
        <v>312</v>
      </c>
      <c r="Z42" t="s">
        <v>212</v>
      </c>
      <c r="AA42" t="s">
        <v>313</v>
      </c>
      <c r="AB42" t="s">
        <v>314</v>
      </c>
      <c r="AC42" t="s">
        <v>315</v>
      </c>
      <c r="AD42" t="s">
        <v>27</v>
      </c>
      <c r="AE42" t="s">
        <v>316</v>
      </c>
      <c r="AF42" s="2">
        <v>45238</v>
      </c>
      <c r="AG42" t="s">
        <v>29</v>
      </c>
      <c r="AH42" t="s">
        <v>317</v>
      </c>
      <c r="AI42" s="2">
        <v>45238</v>
      </c>
      <c r="AJ42" t="s">
        <v>29</v>
      </c>
    </row>
    <row r="43" spans="1:36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107</v>
      </c>
      <c r="J43" t="s">
        <v>108</v>
      </c>
      <c r="K43" t="s">
        <v>109</v>
      </c>
      <c r="L43" t="s">
        <v>318</v>
      </c>
      <c r="M43" t="s">
        <v>319</v>
      </c>
      <c r="N43" t="s">
        <v>320</v>
      </c>
      <c r="O43" s="2">
        <v>45238</v>
      </c>
      <c r="P43" t="s">
        <v>321</v>
      </c>
      <c r="Q43" t="s">
        <v>114</v>
      </c>
      <c r="R43" t="s">
        <v>322</v>
      </c>
      <c r="S43" t="s">
        <v>323</v>
      </c>
      <c r="T43" t="s">
        <v>324</v>
      </c>
      <c r="U43" t="s">
        <v>325</v>
      </c>
      <c r="V43" t="s">
        <v>119</v>
      </c>
      <c r="W43" t="s">
        <v>326</v>
      </c>
      <c r="X43" t="s">
        <v>21</v>
      </c>
      <c r="Y43" t="s">
        <v>121</v>
      </c>
      <c r="Z43" t="s">
        <v>122</v>
      </c>
      <c r="AA43" t="s">
        <v>327</v>
      </c>
      <c r="AB43" t="s">
        <v>328</v>
      </c>
      <c r="AC43" t="s">
        <v>329</v>
      </c>
      <c r="AD43" t="s">
        <v>27</v>
      </c>
      <c r="AE43" t="s">
        <v>330</v>
      </c>
      <c r="AF43" s="2">
        <v>45225</v>
      </c>
      <c r="AG43" t="s">
        <v>29</v>
      </c>
      <c r="AH43" t="s">
        <v>331</v>
      </c>
      <c r="AI43" s="2">
        <v>45227</v>
      </c>
      <c r="AJ43" t="s">
        <v>29</v>
      </c>
    </row>
    <row r="44" spans="1:36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107</v>
      </c>
      <c r="J44" t="s">
        <v>108</v>
      </c>
      <c r="K44" t="s">
        <v>109</v>
      </c>
      <c r="L44" t="s">
        <v>318</v>
      </c>
      <c r="M44" t="s">
        <v>319</v>
      </c>
      <c r="N44" t="s">
        <v>320</v>
      </c>
      <c r="O44" s="2">
        <v>45238</v>
      </c>
      <c r="P44" t="s">
        <v>321</v>
      </c>
      <c r="Q44" t="s">
        <v>14</v>
      </c>
      <c r="R44" t="s">
        <v>322</v>
      </c>
      <c r="S44" t="s">
        <v>323</v>
      </c>
      <c r="T44" t="s">
        <v>324</v>
      </c>
      <c r="U44" t="s">
        <v>325</v>
      </c>
      <c r="V44" t="s">
        <v>119</v>
      </c>
      <c r="W44" t="s">
        <v>326</v>
      </c>
      <c r="X44" t="s">
        <v>21</v>
      </c>
      <c r="Y44" t="s">
        <v>121</v>
      </c>
      <c r="Z44" t="s">
        <v>122</v>
      </c>
      <c r="AA44" t="s">
        <v>327</v>
      </c>
      <c r="AB44" t="s">
        <v>328</v>
      </c>
      <c r="AC44" t="s">
        <v>329</v>
      </c>
      <c r="AD44" t="s">
        <v>27</v>
      </c>
      <c r="AE44" t="s">
        <v>330</v>
      </c>
      <c r="AF44" s="2">
        <v>45225</v>
      </c>
      <c r="AG44" t="s">
        <v>29</v>
      </c>
      <c r="AH44" t="s">
        <v>331</v>
      </c>
      <c r="AI44" s="2">
        <v>45227</v>
      </c>
      <c r="AJ44" t="s">
        <v>29</v>
      </c>
    </row>
    <row r="45" spans="1:36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107</v>
      </c>
      <c r="J45" t="s">
        <v>108</v>
      </c>
      <c r="K45" t="s">
        <v>109</v>
      </c>
      <c r="L45" t="s">
        <v>332</v>
      </c>
      <c r="M45" t="s">
        <v>333</v>
      </c>
      <c r="N45" t="s">
        <v>334</v>
      </c>
      <c r="O45" s="2">
        <v>45238</v>
      </c>
      <c r="P45" t="s">
        <v>335</v>
      </c>
      <c r="Q45" t="s">
        <v>218</v>
      </c>
      <c r="R45" t="s">
        <v>336</v>
      </c>
      <c r="S45" t="s">
        <v>337</v>
      </c>
      <c r="T45" t="s">
        <v>338</v>
      </c>
      <c r="U45" t="s">
        <v>339</v>
      </c>
      <c r="V45" t="s">
        <v>119</v>
      </c>
      <c r="W45" t="s">
        <v>340</v>
      </c>
      <c r="X45" t="s">
        <v>21</v>
      </c>
      <c r="Y45" t="s">
        <v>121</v>
      </c>
      <c r="Z45" t="s">
        <v>341</v>
      </c>
      <c r="AA45" t="s">
        <v>24</v>
      </c>
      <c r="AB45" t="s">
        <v>342</v>
      </c>
      <c r="AC45" t="s">
        <v>343</v>
      </c>
      <c r="AD45" t="s">
        <v>219</v>
      </c>
      <c r="AE45" t="s">
        <v>344</v>
      </c>
      <c r="AF45" s="2">
        <v>45232</v>
      </c>
      <c r="AG45" t="s">
        <v>345</v>
      </c>
      <c r="AH45" t="s">
        <v>346</v>
      </c>
      <c r="AI45" s="2">
        <v>45232</v>
      </c>
      <c r="AJ45" t="s">
        <v>345</v>
      </c>
    </row>
    <row r="46" spans="1:36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107</v>
      </c>
      <c r="J46" t="s">
        <v>108</v>
      </c>
      <c r="K46" t="s">
        <v>109</v>
      </c>
      <c r="L46" t="s">
        <v>332</v>
      </c>
      <c r="M46" t="s">
        <v>333</v>
      </c>
      <c r="N46" t="s">
        <v>334</v>
      </c>
      <c r="O46" s="2">
        <v>45238</v>
      </c>
      <c r="P46" t="s">
        <v>347</v>
      </c>
      <c r="Q46" t="s">
        <v>218</v>
      </c>
      <c r="R46" t="s">
        <v>336</v>
      </c>
      <c r="S46" t="s">
        <v>337</v>
      </c>
      <c r="T46" t="s">
        <v>338</v>
      </c>
      <c r="U46" t="s">
        <v>339</v>
      </c>
      <c r="V46" t="s">
        <v>119</v>
      </c>
      <c r="W46" t="s">
        <v>340</v>
      </c>
      <c r="X46" t="s">
        <v>21</v>
      </c>
      <c r="Y46" t="s">
        <v>121</v>
      </c>
      <c r="Z46" t="s">
        <v>341</v>
      </c>
      <c r="AA46" t="s">
        <v>24</v>
      </c>
      <c r="AB46" t="s">
        <v>342</v>
      </c>
      <c r="AC46" t="s">
        <v>348</v>
      </c>
      <c r="AD46" t="s">
        <v>219</v>
      </c>
      <c r="AE46" t="s">
        <v>344</v>
      </c>
      <c r="AF46" s="2">
        <v>45232</v>
      </c>
      <c r="AG46" t="s">
        <v>345</v>
      </c>
      <c r="AH46" t="s">
        <v>346</v>
      </c>
      <c r="AI46" s="2">
        <v>45232</v>
      </c>
      <c r="AJ46" t="s">
        <v>345</v>
      </c>
    </row>
    <row r="47" spans="1:36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127</v>
      </c>
      <c r="J47" t="s">
        <v>128</v>
      </c>
      <c r="K47" t="s">
        <v>129</v>
      </c>
      <c r="L47" t="s">
        <v>130</v>
      </c>
      <c r="M47" t="s">
        <v>131</v>
      </c>
      <c r="N47" t="s">
        <v>132</v>
      </c>
      <c r="O47" s="2">
        <v>45238</v>
      </c>
      <c r="P47" t="s">
        <v>305</v>
      </c>
      <c r="Q47" t="s">
        <v>114</v>
      </c>
      <c r="R47" t="s">
        <v>306</v>
      </c>
      <c r="S47" t="s">
        <v>307</v>
      </c>
      <c r="T47" t="s">
        <v>308</v>
      </c>
      <c r="U47" t="s">
        <v>309</v>
      </c>
      <c r="V47" t="s">
        <v>98</v>
      </c>
      <c r="W47" t="s">
        <v>310</v>
      </c>
      <c r="X47" t="s">
        <v>311</v>
      </c>
      <c r="Y47" t="s">
        <v>312</v>
      </c>
      <c r="Z47" t="s">
        <v>212</v>
      </c>
      <c r="AA47" t="s">
        <v>313</v>
      </c>
      <c r="AB47" t="s">
        <v>314</v>
      </c>
      <c r="AC47" t="s">
        <v>315</v>
      </c>
      <c r="AD47" t="s">
        <v>27</v>
      </c>
      <c r="AE47" t="s">
        <v>316</v>
      </c>
      <c r="AF47" s="2">
        <v>45238</v>
      </c>
      <c r="AG47" t="s">
        <v>29</v>
      </c>
      <c r="AH47" t="s">
        <v>317</v>
      </c>
      <c r="AI47" s="2">
        <v>45238</v>
      </c>
      <c r="AJ47" t="s">
        <v>29</v>
      </c>
    </row>
    <row r="48" spans="1:36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107</v>
      </c>
      <c r="J48" t="s">
        <v>108</v>
      </c>
      <c r="K48" t="s">
        <v>109</v>
      </c>
      <c r="L48" t="s">
        <v>332</v>
      </c>
      <c r="M48" t="s">
        <v>333</v>
      </c>
      <c r="N48" t="s">
        <v>334</v>
      </c>
      <c r="O48" s="2">
        <v>45238</v>
      </c>
      <c r="P48" t="s">
        <v>349</v>
      </c>
      <c r="Q48" t="s">
        <v>114</v>
      </c>
      <c r="R48" t="s">
        <v>336</v>
      </c>
      <c r="S48" t="s">
        <v>337</v>
      </c>
      <c r="T48" t="s">
        <v>338</v>
      </c>
      <c r="U48" t="s">
        <v>339</v>
      </c>
      <c r="V48" t="s">
        <v>119</v>
      </c>
      <c r="W48" t="s">
        <v>340</v>
      </c>
      <c r="X48" t="s">
        <v>21</v>
      </c>
      <c r="Y48" t="s">
        <v>121</v>
      </c>
      <c r="Z48" t="s">
        <v>341</v>
      </c>
      <c r="AA48" t="s">
        <v>24</v>
      </c>
      <c r="AB48" t="s">
        <v>342</v>
      </c>
      <c r="AC48" t="s">
        <v>348</v>
      </c>
      <c r="AD48" t="s">
        <v>27</v>
      </c>
      <c r="AE48" t="s">
        <v>350</v>
      </c>
      <c r="AF48" s="2">
        <v>45237</v>
      </c>
      <c r="AG48" t="s">
        <v>345</v>
      </c>
      <c r="AH48" t="s">
        <v>351</v>
      </c>
      <c r="AI48" s="2">
        <v>45238</v>
      </c>
      <c r="AJ48" t="s">
        <v>345</v>
      </c>
    </row>
    <row r="49" spans="1:36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107</v>
      </c>
      <c r="J49" t="s">
        <v>108</v>
      </c>
      <c r="K49" t="s">
        <v>109</v>
      </c>
      <c r="L49" t="s">
        <v>110</v>
      </c>
      <c r="M49" t="s">
        <v>111</v>
      </c>
      <c r="N49" t="s">
        <v>112</v>
      </c>
      <c r="O49" s="2">
        <v>45238</v>
      </c>
      <c r="P49" t="s">
        <v>352</v>
      </c>
      <c r="Q49" t="s">
        <v>218</v>
      </c>
      <c r="R49" t="s">
        <v>336</v>
      </c>
      <c r="S49" t="s">
        <v>337</v>
      </c>
      <c r="T49" t="s">
        <v>338</v>
      </c>
      <c r="U49" t="s">
        <v>339</v>
      </c>
      <c r="V49" t="s">
        <v>119</v>
      </c>
      <c r="W49" t="s">
        <v>340</v>
      </c>
      <c r="X49" t="s">
        <v>21</v>
      </c>
      <c r="Y49" t="s">
        <v>121</v>
      </c>
      <c r="Z49" t="s">
        <v>122</v>
      </c>
      <c r="AA49" t="s">
        <v>24</v>
      </c>
      <c r="AB49" t="s">
        <v>342</v>
      </c>
      <c r="AC49" t="s">
        <v>353</v>
      </c>
      <c r="AD49" t="s">
        <v>219</v>
      </c>
      <c r="AE49" t="s">
        <v>354</v>
      </c>
      <c r="AF49" s="2">
        <v>45232</v>
      </c>
      <c r="AG49" t="s">
        <v>355</v>
      </c>
      <c r="AH49" t="s">
        <v>356</v>
      </c>
      <c r="AI49" s="2">
        <v>45232</v>
      </c>
      <c r="AJ49" t="s">
        <v>355</v>
      </c>
    </row>
    <row r="50" spans="1:36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107</v>
      </c>
      <c r="J50" t="s">
        <v>108</v>
      </c>
      <c r="K50" t="s">
        <v>109</v>
      </c>
      <c r="L50" t="s">
        <v>110</v>
      </c>
      <c r="M50" t="s">
        <v>111</v>
      </c>
      <c r="N50" t="s">
        <v>112</v>
      </c>
      <c r="O50" s="2">
        <v>45238</v>
      </c>
      <c r="P50" t="s">
        <v>357</v>
      </c>
      <c r="Q50" t="s">
        <v>218</v>
      </c>
      <c r="R50" t="s">
        <v>336</v>
      </c>
      <c r="S50" t="s">
        <v>337</v>
      </c>
      <c r="T50" t="s">
        <v>338</v>
      </c>
      <c r="U50" t="s">
        <v>339</v>
      </c>
      <c r="V50" t="s">
        <v>119</v>
      </c>
      <c r="W50" t="s">
        <v>340</v>
      </c>
      <c r="X50" t="s">
        <v>21</v>
      </c>
      <c r="Y50" t="s">
        <v>121</v>
      </c>
      <c r="Z50" t="s">
        <v>122</v>
      </c>
      <c r="AA50" t="s">
        <v>24</v>
      </c>
      <c r="AB50" t="s">
        <v>342</v>
      </c>
      <c r="AC50" t="s">
        <v>358</v>
      </c>
      <c r="AD50" t="s">
        <v>219</v>
      </c>
      <c r="AE50" t="s">
        <v>354</v>
      </c>
      <c r="AF50" s="2">
        <v>45232</v>
      </c>
      <c r="AG50" t="s">
        <v>355</v>
      </c>
      <c r="AH50" t="s">
        <v>356</v>
      </c>
      <c r="AI50" s="2">
        <v>45232</v>
      </c>
      <c r="AJ50" t="s">
        <v>355</v>
      </c>
    </row>
    <row r="51" spans="1:36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107</v>
      </c>
      <c r="J51" t="s">
        <v>108</v>
      </c>
      <c r="K51" t="s">
        <v>109</v>
      </c>
      <c r="L51" t="s">
        <v>110</v>
      </c>
      <c r="M51" t="s">
        <v>111</v>
      </c>
      <c r="N51" t="s">
        <v>112</v>
      </c>
      <c r="O51" s="2">
        <v>45238</v>
      </c>
      <c r="P51" t="s">
        <v>359</v>
      </c>
      <c r="Q51" t="s">
        <v>218</v>
      </c>
      <c r="R51" t="s">
        <v>336</v>
      </c>
      <c r="S51" t="s">
        <v>337</v>
      </c>
      <c r="T51" t="s">
        <v>338</v>
      </c>
      <c r="U51" t="s">
        <v>339</v>
      </c>
      <c r="V51" t="s">
        <v>119</v>
      </c>
      <c r="W51" t="s">
        <v>340</v>
      </c>
      <c r="X51" t="s">
        <v>21</v>
      </c>
      <c r="Y51" t="s">
        <v>121</v>
      </c>
      <c r="Z51" t="s">
        <v>122</v>
      </c>
      <c r="AA51" t="s">
        <v>24</v>
      </c>
      <c r="AB51" t="s">
        <v>342</v>
      </c>
      <c r="AC51" t="s">
        <v>360</v>
      </c>
      <c r="AD51" t="s">
        <v>219</v>
      </c>
      <c r="AE51" t="s">
        <v>354</v>
      </c>
      <c r="AF51" s="2">
        <v>45232</v>
      </c>
      <c r="AG51" t="s">
        <v>355</v>
      </c>
      <c r="AH51" t="s">
        <v>356</v>
      </c>
      <c r="AI51" s="2">
        <v>45232</v>
      </c>
      <c r="AJ51" t="s">
        <v>355</v>
      </c>
    </row>
    <row r="52" spans="1:36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107</v>
      </c>
      <c r="J52" t="s">
        <v>108</v>
      </c>
      <c r="K52" t="s">
        <v>109</v>
      </c>
      <c r="L52" t="s">
        <v>332</v>
      </c>
      <c r="M52" t="s">
        <v>333</v>
      </c>
      <c r="N52" t="s">
        <v>334</v>
      </c>
      <c r="O52" s="2">
        <v>45238</v>
      </c>
      <c r="P52" t="s">
        <v>361</v>
      </c>
      <c r="Q52" t="s">
        <v>14</v>
      </c>
      <c r="R52" t="s">
        <v>336</v>
      </c>
      <c r="S52" t="s">
        <v>337</v>
      </c>
      <c r="T52" t="s">
        <v>338</v>
      </c>
      <c r="U52" t="s">
        <v>339</v>
      </c>
      <c r="V52" t="s">
        <v>119</v>
      </c>
      <c r="W52" t="s">
        <v>340</v>
      </c>
      <c r="X52" t="s">
        <v>21</v>
      </c>
      <c r="Y52" t="s">
        <v>121</v>
      </c>
      <c r="Z52" t="s">
        <v>341</v>
      </c>
      <c r="AA52" t="s">
        <v>24</v>
      </c>
      <c r="AB52" t="s">
        <v>342</v>
      </c>
      <c r="AC52" t="s">
        <v>343</v>
      </c>
      <c r="AD52" t="s">
        <v>27</v>
      </c>
      <c r="AE52" t="s">
        <v>350</v>
      </c>
      <c r="AF52" s="2">
        <v>45237</v>
      </c>
      <c r="AG52" t="s">
        <v>345</v>
      </c>
      <c r="AH52" t="s">
        <v>351</v>
      </c>
      <c r="AI52" s="2">
        <v>45238</v>
      </c>
      <c r="AJ52" t="s">
        <v>345</v>
      </c>
    </row>
    <row r="53" spans="1:36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107</v>
      </c>
      <c r="J53" t="s">
        <v>108</v>
      </c>
      <c r="K53" t="s">
        <v>109</v>
      </c>
      <c r="L53" t="s">
        <v>332</v>
      </c>
      <c r="M53" t="s">
        <v>333</v>
      </c>
      <c r="N53" t="s">
        <v>334</v>
      </c>
      <c r="O53" s="2">
        <v>45238</v>
      </c>
      <c r="P53" t="s">
        <v>349</v>
      </c>
      <c r="Q53" t="s">
        <v>14</v>
      </c>
      <c r="R53" t="s">
        <v>336</v>
      </c>
      <c r="S53" t="s">
        <v>337</v>
      </c>
      <c r="T53" t="s">
        <v>338</v>
      </c>
      <c r="U53" t="s">
        <v>339</v>
      </c>
      <c r="V53" t="s">
        <v>119</v>
      </c>
      <c r="W53" t="s">
        <v>340</v>
      </c>
      <c r="X53" t="s">
        <v>21</v>
      </c>
      <c r="Y53" t="s">
        <v>121</v>
      </c>
      <c r="Z53" t="s">
        <v>341</v>
      </c>
      <c r="AA53" t="s">
        <v>24</v>
      </c>
      <c r="AB53" t="s">
        <v>342</v>
      </c>
      <c r="AC53" t="s">
        <v>348</v>
      </c>
      <c r="AD53" t="s">
        <v>27</v>
      </c>
      <c r="AE53" t="s">
        <v>350</v>
      </c>
      <c r="AF53" s="2">
        <v>45237</v>
      </c>
      <c r="AG53" t="s">
        <v>345</v>
      </c>
      <c r="AH53" t="s">
        <v>351</v>
      </c>
      <c r="AI53" s="2">
        <v>45238</v>
      </c>
      <c r="AJ53" t="s">
        <v>345</v>
      </c>
    </row>
    <row r="54" spans="1:36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107</v>
      </c>
      <c r="J54" t="s">
        <v>108</v>
      </c>
      <c r="K54" t="s">
        <v>109</v>
      </c>
      <c r="L54" t="s">
        <v>332</v>
      </c>
      <c r="M54" t="s">
        <v>333</v>
      </c>
      <c r="N54" t="s">
        <v>334</v>
      </c>
      <c r="O54" s="2">
        <v>45238</v>
      </c>
      <c r="P54" t="s">
        <v>362</v>
      </c>
      <c r="Q54" t="s">
        <v>14</v>
      </c>
      <c r="R54" t="s">
        <v>336</v>
      </c>
      <c r="S54" t="s">
        <v>337</v>
      </c>
      <c r="T54" t="s">
        <v>338</v>
      </c>
      <c r="U54" t="s">
        <v>339</v>
      </c>
      <c r="V54" t="s">
        <v>119</v>
      </c>
      <c r="W54" t="s">
        <v>340</v>
      </c>
      <c r="X54" t="s">
        <v>21</v>
      </c>
      <c r="Y54" t="s">
        <v>121</v>
      </c>
      <c r="Z54" t="s">
        <v>341</v>
      </c>
      <c r="AA54" t="s">
        <v>24</v>
      </c>
      <c r="AB54" t="s">
        <v>342</v>
      </c>
      <c r="AC54" t="s">
        <v>353</v>
      </c>
      <c r="AD54" t="s">
        <v>27</v>
      </c>
      <c r="AE54" t="s">
        <v>350</v>
      </c>
      <c r="AF54" s="2">
        <v>45237</v>
      </c>
      <c r="AG54" t="s">
        <v>345</v>
      </c>
      <c r="AH54" t="s">
        <v>351</v>
      </c>
      <c r="AI54" s="2">
        <v>45238</v>
      </c>
      <c r="AJ54" t="s">
        <v>345</v>
      </c>
    </row>
    <row r="55" spans="1:36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107</v>
      </c>
      <c r="J55" t="s">
        <v>108</v>
      </c>
      <c r="K55" t="s">
        <v>109</v>
      </c>
      <c r="L55" t="s">
        <v>332</v>
      </c>
      <c r="M55" t="s">
        <v>333</v>
      </c>
      <c r="N55" t="s">
        <v>334</v>
      </c>
      <c r="O55" s="2">
        <v>45238</v>
      </c>
      <c r="P55" t="s">
        <v>362</v>
      </c>
      <c r="Q55" t="s">
        <v>114</v>
      </c>
      <c r="R55" t="s">
        <v>336</v>
      </c>
      <c r="S55" t="s">
        <v>337</v>
      </c>
      <c r="T55" t="s">
        <v>338</v>
      </c>
      <c r="U55" t="s">
        <v>339</v>
      </c>
      <c r="V55" t="s">
        <v>119</v>
      </c>
      <c r="W55" t="s">
        <v>340</v>
      </c>
      <c r="X55" t="s">
        <v>21</v>
      </c>
      <c r="Y55" t="s">
        <v>121</v>
      </c>
      <c r="Z55" t="s">
        <v>341</v>
      </c>
      <c r="AA55" t="s">
        <v>24</v>
      </c>
      <c r="AB55" t="s">
        <v>342</v>
      </c>
      <c r="AC55" t="s">
        <v>353</v>
      </c>
      <c r="AD55" t="s">
        <v>27</v>
      </c>
      <c r="AE55" t="s">
        <v>350</v>
      </c>
      <c r="AF55" s="2">
        <v>45237</v>
      </c>
      <c r="AG55" t="s">
        <v>345</v>
      </c>
      <c r="AH55" t="s">
        <v>351</v>
      </c>
      <c r="AI55" s="2">
        <v>45238</v>
      </c>
      <c r="AJ55" t="s">
        <v>345</v>
      </c>
    </row>
    <row r="56" spans="1:36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107</v>
      </c>
      <c r="J56" t="s">
        <v>108</v>
      </c>
      <c r="K56" t="s">
        <v>109</v>
      </c>
      <c r="L56" t="s">
        <v>332</v>
      </c>
      <c r="M56" t="s">
        <v>333</v>
      </c>
      <c r="N56" t="s">
        <v>334</v>
      </c>
      <c r="O56" s="2">
        <v>45238</v>
      </c>
      <c r="P56" t="s">
        <v>363</v>
      </c>
      <c r="Q56" t="s">
        <v>114</v>
      </c>
      <c r="R56" t="s">
        <v>336</v>
      </c>
      <c r="S56" t="s">
        <v>337</v>
      </c>
      <c r="T56" t="s">
        <v>338</v>
      </c>
      <c r="U56" t="s">
        <v>339</v>
      </c>
      <c r="V56" t="s">
        <v>119</v>
      </c>
      <c r="W56" t="s">
        <v>340</v>
      </c>
      <c r="X56" t="s">
        <v>21</v>
      </c>
      <c r="Y56" t="s">
        <v>121</v>
      </c>
      <c r="Z56" t="s">
        <v>341</v>
      </c>
      <c r="AA56" t="s">
        <v>24</v>
      </c>
      <c r="AB56" t="s">
        <v>342</v>
      </c>
      <c r="AC56" t="s">
        <v>358</v>
      </c>
      <c r="AD56" t="s">
        <v>27</v>
      </c>
      <c r="AE56" t="s">
        <v>350</v>
      </c>
      <c r="AF56" s="2">
        <v>45237</v>
      </c>
      <c r="AG56" t="s">
        <v>345</v>
      </c>
      <c r="AH56" t="s">
        <v>351</v>
      </c>
      <c r="AI56" s="2">
        <v>45238</v>
      </c>
      <c r="AJ56" t="s">
        <v>345</v>
      </c>
    </row>
    <row r="57" spans="1:36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107</v>
      </c>
      <c r="J57" t="s">
        <v>108</v>
      </c>
      <c r="K57" t="s">
        <v>109</v>
      </c>
      <c r="L57" t="s">
        <v>332</v>
      </c>
      <c r="M57" t="s">
        <v>333</v>
      </c>
      <c r="N57" t="s">
        <v>334</v>
      </c>
      <c r="O57" s="2">
        <v>45238</v>
      </c>
      <c r="P57" t="s">
        <v>363</v>
      </c>
      <c r="Q57" t="s">
        <v>14</v>
      </c>
      <c r="R57" t="s">
        <v>336</v>
      </c>
      <c r="S57" t="s">
        <v>337</v>
      </c>
      <c r="T57" t="s">
        <v>338</v>
      </c>
      <c r="U57" t="s">
        <v>339</v>
      </c>
      <c r="V57" t="s">
        <v>119</v>
      </c>
      <c r="W57" t="s">
        <v>340</v>
      </c>
      <c r="X57" t="s">
        <v>21</v>
      </c>
      <c r="Y57" t="s">
        <v>121</v>
      </c>
      <c r="Z57" t="s">
        <v>341</v>
      </c>
      <c r="AA57" t="s">
        <v>24</v>
      </c>
      <c r="AB57" t="s">
        <v>342</v>
      </c>
      <c r="AC57" t="s">
        <v>358</v>
      </c>
      <c r="AD57" t="s">
        <v>27</v>
      </c>
      <c r="AE57" t="s">
        <v>350</v>
      </c>
      <c r="AF57" s="2">
        <v>45237</v>
      </c>
      <c r="AG57" t="s">
        <v>345</v>
      </c>
      <c r="AH57" t="s">
        <v>351</v>
      </c>
      <c r="AI57" s="2">
        <v>45238</v>
      </c>
      <c r="AJ57" t="s">
        <v>345</v>
      </c>
    </row>
    <row r="58" spans="1:36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107</v>
      </c>
      <c r="J58" t="s">
        <v>108</v>
      </c>
      <c r="K58" t="s">
        <v>109</v>
      </c>
      <c r="L58" t="s">
        <v>332</v>
      </c>
      <c r="M58" t="s">
        <v>333</v>
      </c>
      <c r="N58" t="s">
        <v>334</v>
      </c>
      <c r="O58" s="2">
        <v>45238</v>
      </c>
      <c r="P58" t="s">
        <v>361</v>
      </c>
      <c r="Q58" t="s">
        <v>114</v>
      </c>
      <c r="R58" t="s">
        <v>336</v>
      </c>
      <c r="S58" t="s">
        <v>337</v>
      </c>
      <c r="T58" t="s">
        <v>338</v>
      </c>
      <c r="U58" t="s">
        <v>339</v>
      </c>
      <c r="V58" t="s">
        <v>119</v>
      </c>
      <c r="W58" t="s">
        <v>340</v>
      </c>
      <c r="X58" t="s">
        <v>21</v>
      </c>
      <c r="Y58" t="s">
        <v>121</v>
      </c>
      <c r="Z58" t="s">
        <v>341</v>
      </c>
      <c r="AA58" t="s">
        <v>24</v>
      </c>
      <c r="AB58" t="s">
        <v>342</v>
      </c>
      <c r="AC58" t="s">
        <v>343</v>
      </c>
      <c r="AD58" t="s">
        <v>27</v>
      </c>
      <c r="AE58" t="s">
        <v>350</v>
      </c>
      <c r="AF58" s="2">
        <v>45237</v>
      </c>
      <c r="AG58" t="s">
        <v>345</v>
      </c>
      <c r="AH58" t="s">
        <v>351</v>
      </c>
      <c r="AI58" s="2">
        <v>45238</v>
      </c>
      <c r="AJ58" t="s">
        <v>345</v>
      </c>
    </row>
    <row r="59" spans="1:36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107</v>
      </c>
      <c r="J59" t="s">
        <v>108</v>
      </c>
      <c r="K59" t="s">
        <v>109</v>
      </c>
      <c r="L59" t="s">
        <v>332</v>
      </c>
      <c r="M59" t="s">
        <v>333</v>
      </c>
      <c r="N59" t="s">
        <v>334</v>
      </c>
      <c r="O59" s="2">
        <v>45238</v>
      </c>
      <c r="P59" t="s">
        <v>364</v>
      </c>
      <c r="Q59" t="s">
        <v>14</v>
      </c>
      <c r="R59" t="s">
        <v>336</v>
      </c>
      <c r="S59" t="s">
        <v>337</v>
      </c>
      <c r="T59" t="s">
        <v>338</v>
      </c>
      <c r="U59" t="s">
        <v>339</v>
      </c>
      <c r="V59" t="s">
        <v>119</v>
      </c>
      <c r="W59" t="s">
        <v>340</v>
      </c>
      <c r="X59" t="s">
        <v>21</v>
      </c>
      <c r="Y59" t="s">
        <v>121</v>
      </c>
      <c r="Z59" t="s">
        <v>341</v>
      </c>
      <c r="AA59" t="s">
        <v>24</v>
      </c>
      <c r="AB59" t="s">
        <v>342</v>
      </c>
      <c r="AC59" t="s">
        <v>360</v>
      </c>
      <c r="AD59" t="s">
        <v>27</v>
      </c>
      <c r="AE59" t="s">
        <v>350</v>
      </c>
      <c r="AF59" s="2">
        <v>45237</v>
      </c>
      <c r="AG59" t="s">
        <v>345</v>
      </c>
      <c r="AH59" t="s">
        <v>351</v>
      </c>
      <c r="AI59" s="2">
        <v>45238</v>
      </c>
      <c r="AJ59" t="s">
        <v>345</v>
      </c>
    </row>
    <row r="60" spans="1:36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107</v>
      </c>
      <c r="J60" t="s">
        <v>108</v>
      </c>
      <c r="K60" t="s">
        <v>109</v>
      </c>
      <c r="L60" t="s">
        <v>332</v>
      </c>
      <c r="M60" t="s">
        <v>333</v>
      </c>
      <c r="N60" t="s">
        <v>334</v>
      </c>
      <c r="O60" s="2">
        <v>45238</v>
      </c>
      <c r="P60" t="s">
        <v>364</v>
      </c>
      <c r="Q60" t="s">
        <v>114</v>
      </c>
      <c r="R60" t="s">
        <v>336</v>
      </c>
      <c r="S60" t="s">
        <v>337</v>
      </c>
      <c r="T60" t="s">
        <v>338</v>
      </c>
      <c r="U60" t="s">
        <v>339</v>
      </c>
      <c r="V60" t="s">
        <v>119</v>
      </c>
      <c r="W60" t="s">
        <v>340</v>
      </c>
      <c r="X60" t="s">
        <v>21</v>
      </c>
      <c r="Y60" t="s">
        <v>121</v>
      </c>
      <c r="Z60" t="s">
        <v>341</v>
      </c>
      <c r="AA60" t="s">
        <v>24</v>
      </c>
      <c r="AB60" t="s">
        <v>342</v>
      </c>
      <c r="AC60" t="s">
        <v>360</v>
      </c>
      <c r="AD60" t="s">
        <v>27</v>
      </c>
      <c r="AE60" t="s">
        <v>350</v>
      </c>
      <c r="AF60" s="2">
        <v>45237</v>
      </c>
      <c r="AG60" t="s">
        <v>345</v>
      </c>
      <c r="AH60" t="s">
        <v>351</v>
      </c>
      <c r="AI60" s="2">
        <v>45238</v>
      </c>
      <c r="AJ60" t="s">
        <v>345</v>
      </c>
    </row>
    <row r="61" spans="1:36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127</v>
      </c>
      <c r="J61" t="s">
        <v>128</v>
      </c>
      <c r="K61" t="s">
        <v>129</v>
      </c>
      <c r="L61" t="s">
        <v>130</v>
      </c>
      <c r="M61" t="s">
        <v>131</v>
      </c>
      <c r="N61" t="s">
        <v>132</v>
      </c>
      <c r="O61" s="2">
        <v>45238</v>
      </c>
      <c r="P61" t="s">
        <v>365</v>
      </c>
      <c r="Q61" t="s">
        <v>114</v>
      </c>
      <c r="R61" t="s">
        <v>366</v>
      </c>
      <c r="S61" t="s">
        <v>367</v>
      </c>
      <c r="T61" t="s">
        <v>368</v>
      </c>
      <c r="U61" t="s">
        <v>369</v>
      </c>
      <c r="V61" t="s">
        <v>98</v>
      </c>
      <c r="W61" t="s">
        <v>138</v>
      </c>
      <c r="X61" t="s">
        <v>139</v>
      </c>
      <c r="Y61" t="s">
        <v>140</v>
      </c>
      <c r="Z61" t="s">
        <v>122</v>
      </c>
      <c r="AA61" t="s">
        <v>142</v>
      </c>
      <c r="AB61" t="s">
        <v>370</v>
      </c>
      <c r="AC61" t="s">
        <v>371</v>
      </c>
      <c r="AD61" t="s">
        <v>27</v>
      </c>
      <c r="AE61" t="s">
        <v>372</v>
      </c>
      <c r="AF61" s="2">
        <v>45231</v>
      </c>
      <c r="AG61" t="s">
        <v>146</v>
      </c>
      <c r="AH61" t="s">
        <v>373</v>
      </c>
      <c r="AI61" s="2">
        <v>45231</v>
      </c>
      <c r="AJ61" t="s">
        <v>146</v>
      </c>
    </row>
    <row r="62" spans="1:36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127</v>
      </c>
      <c r="J62" t="s">
        <v>128</v>
      </c>
      <c r="K62" t="s">
        <v>129</v>
      </c>
      <c r="L62" t="s">
        <v>130</v>
      </c>
      <c r="M62" t="s">
        <v>131</v>
      </c>
      <c r="N62" t="s">
        <v>132</v>
      </c>
      <c r="O62" s="2">
        <v>45238</v>
      </c>
      <c r="P62" t="s">
        <v>374</v>
      </c>
      <c r="Q62" t="s">
        <v>14</v>
      </c>
      <c r="R62" t="s">
        <v>366</v>
      </c>
      <c r="S62" t="s">
        <v>367</v>
      </c>
      <c r="T62" t="s">
        <v>368</v>
      </c>
      <c r="U62" t="s">
        <v>369</v>
      </c>
      <c r="V62" t="s">
        <v>98</v>
      </c>
      <c r="W62" t="s">
        <v>138</v>
      </c>
      <c r="X62" t="s">
        <v>139</v>
      </c>
      <c r="Y62" t="s">
        <v>140</v>
      </c>
      <c r="Z62" t="s">
        <v>122</v>
      </c>
      <c r="AA62" t="s">
        <v>142</v>
      </c>
      <c r="AB62" t="s">
        <v>370</v>
      </c>
      <c r="AC62" t="s">
        <v>375</v>
      </c>
      <c r="AD62" t="s">
        <v>27</v>
      </c>
      <c r="AE62" t="s">
        <v>372</v>
      </c>
      <c r="AF62" s="2">
        <v>45231</v>
      </c>
      <c r="AG62" t="s">
        <v>146</v>
      </c>
      <c r="AH62" t="s">
        <v>373</v>
      </c>
      <c r="AI62" s="2">
        <v>45231</v>
      </c>
      <c r="AJ62" t="s">
        <v>146</v>
      </c>
    </row>
    <row r="63" spans="1:36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127</v>
      </c>
      <c r="J63" t="s">
        <v>128</v>
      </c>
      <c r="K63" t="s">
        <v>129</v>
      </c>
      <c r="L63" t="s">
        <v>130</v>
      </c>
      <c r="M63" t="s">
        <v>131</v>
      </c>
      <c r="N63" t="s">
        <v>132</v>
      </c>
      <c r="O63" s="2">
        <v>45238</v>
      </c>
      <c r="P63" t="s">
        <v>374</v>
      </c>
      <c r="Q63" t="s">
        <v>114</v>
      </c>
      <c r="R63" t="s">
        <v>366</v>
      </c>
      <c r="S63" t="s">
        <v>367</v>
      </c>
      <c r="T63" t="s">
        <v>368</v>
      </c>
      <c r="U63" t="s">
        <v>369</v>
      </c>
      <c r="V63" t="s">
        <v>98</v>
      </c>
      <c r="W63" t="s">
        <v>138</v>
      </c>
      <c r="X63" t="s">
        <v>139</v>
      </c>
      <c r="Y63" t="s">
        <v>140</v>
      </c>
      <c r="Z63" t="s">
        <v>122</v>
      </c>
      <c r="AA63" t="s">
        <v>142</v>
      </c>
      <c r="AB63" t="s">
        <v>370</v>
      </c>
      <c r="AC63" t="s">
        <v>375</v>
      </c>
      <c r="AD63" t="s">
        <v>27</v>
      </c>
      <c r="AE63" t="s">
        <v>372</v>
      </c>
      <c r="AF63" s="2">
        <v>45231</v>
      </c>
      <c r="AG63" t="s">
        <v>146</v>
      </c>
      <c r="AH63" t="s">
        <v>373</v>
      </c>
      <c r="AI63" s="2">
        <v>45231</v>
      </c>
      <c r="AJ63" t="s">
        <v>146</v>
      </c>
    </row>
    <row r="64" spans="1:36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127</v>
      </c>
      <c r="J64" t="s">
        <v>128</v>
      </c>
      <c r="K64" t="s">
        <v>129</v>
      </c>
      <c r="L64" t="s">
        <v>130</v>
      </c>
      <c r="M64" t="s">
        <v>131</v>
      </c>
      <c r="N64" t="s">
        <v>132</v>
      </c>
      <c r="O64" s="2">
        <v>45238</v>
      </c>
      <c r="P64" t="s">
        <v>376</v>
      </c>
      <c r="Q64" t="s">
        <v>14</v>
      </c>
      <c r="R64" t="s">
        <v>366</v>
      </c>
      <c r="S64" t="s">
        <v>367</v>
      </c>
      <c r="T64" t="s">
        <v>368</v>
      </c>
      <c r="U64" t="s">
        <v>369</v>
      </c>
      <c r="V64" t="s">
        <v>98</v>
      </c>
      <c r="W64" t="s">
        <v>138</v>
      </c>
      <c r="X64" t="s">
        <v>139</v>
      </c>
      <c r="Y64" t="s">
        <v>140</v>
      </c>
      <c r="Z64" t="s">
        <v>122</v>
      </c>
      <c r="AA64" t="s">
        <v>142</v>
      </c>
      <c r="AB64" t="s">
        <v>370</v>
      </c>
      <c r="AC64" t="s">
        <v>377</v>
      </c>
      <c r="AD64" t="s">
        <v>27</v>
      </c>
      <c r="AE64" t="s">
        <v>372</v>
      </c>
      <c r="AF64" s="2">
        <v>45231</v>
      </c>
      <c r="AG64" t="s">
        <v>146</v>
      </c>
      <c r="AH64" t="s">
        <v>373</v>
      </c>
      <c r="AI64" s="2">
        <v>45231</v>
      </c>
      <c r="AJ64" t="s">
        <v>146</v>
      </c>
    </row>
    <row r="65" spans="1:36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127</v>
      </c>
      <c r="J65" t="s">
        <v>128</v>
      </c>
      <c r="K65" t="s">
        <v>129</v>
      </c>
      <c r="L65" t="s">
        <v>130</v>
      </c>
      <c r="M65" t="s">
        <v>131</v>
      </c>
      <c r="N65" t="s">
        <v>132</v>
      </c>
      <c r="O65" s="2">
        <v>45238</v>
      </c>
      <c r="P65" t="s">
        <v>365</v>
      </c>
      <c r="Q65" t="s">
        <v>14</v>
      </c>
      <c r="R65" t="s">
        <v>366</v>
      </c>
      <c r="S65" t="s">
        <v>367</v>
      </c>
      <c r="T65" t="s">
        <v>368</v>
      </c>
      <c r="U65" t="s">
        <v>369</v>
      </c>
      <c r="V65" t="s">
        <v>98</v>
      </c>
      <c r="W65" t="s">
        <v>138</v>
      </c>
      <c r="X65" t="s">
        <v>139</v>
      </c>
      <c r="Y65" t="s">
        <v>140</v>
      </c>
      <c r="Z65" t="s">
        <v>122</v>
      </c>
      <c r="AA65" t="s">
        <v>142</v>
      </c>
      <c r="AB65" t="s">
        <v>370</v>
      </c>
      <c r="AC65" t="s">
        <v>371</v>
      </c>
      <c r="AD65" t="s">
        <v>27</v>
      </c>
      <c r="AE65" t="s">
        <v>372</v>
      </c>
      <c r="AF65" s="2">
        <v>45231</v>
      </c>
      <c r="AG65" t="s">
        <v>146</v>
      </c>
      <c r="AH65" t="s">
        <v>373</v>
      </c>
      <c r="AI65" s="2">
        <v>45231</v>
      </c>
      <c r="AJ65" t="s">
        <v>146</v>
      </c>
    </row>
    <row r="66" spans="1:36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127</v>
      </c>
      <c r="J66" t="s">
        <v>128</v>
      </c>
      <c r="K66" t="s">
        <v>129</v>
      </c>
      <c r="L66" t="s">
        <v>130</v>
      </c>
      <c r="M66" t="s">
        <v>131</v>
      </c>
      <c r="N66" t="s">
        <v>132</v>
      </c>
      <c r="O66" s="2">
        <v>45238</v>
      </c>
      <c r="P66" t="s">
        <v>376</v>
      </c>
      <c r="Q66" t="s">
        <v>114</v>
      </c>
      <c r="R66" t="s">
        <v>366</v>
      </c>
      <c r="S66" t="s">
        <v>367</v>
      </c>
      <c r="T66" t="s">
        <v>368</v>
      </c>
      <c r="U66" t="s">
        <v>369</v>
      </c>
      <c r="V66" t="s">
        <v>98</v>
      </c>
      <c r="W66" t="s">
        <v>138</v>
      </c>
      <c r="X66" t="s">
        <v>139</v>
      </c>
      <c r="Y66" t="s">
        <v>140</v>
      </c>
      <c r="Z66" t="s">
        <v>122</v>
      </c>
      <c r="AA66" t="s">
        <v>142</v>
      </c>
      <c r="AB66" t="s">
        <v>370</v>
      </c>
      <c r="AC66" t="s">
        <v>377</v>
      </c>
      <c r="AD66" t="s">
        <v>27</v>
      </c>
      <c r="AE66" t="s">
        <v>372</v>
      </c>
      <c r="AF66" s="2">
        <v>45231</v>
      </c>
      <c r="AG66" t="s">
        <v>146</v>
      </c>
      <c r="AH66" t="s">
        <v>373</v>
      </c>
      <c r="AI66" s="2">
        <v>45231</v>
      </c>
      <c r="AJ66" t="s">
        <v>146</v>
      </c>
    </row>
    <row r="67" spans="1:36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127</v>
      </c>
      <c r="J67" t="s">
        <v>128</v>
      </c>
      <c r="K67" t="s">
        <v>129</v>
      </c>
      <c r="L67" t="s">
        <v>130</v>
      </c>
      <c r="M67" t="s">
        <v>131</v>
      </c>
      <c r="N67" t="s">
        <v>132</v>
      </c>
      <c r="O67" s="2">
        <v>45238</v>
      </c>
      <c r="P67" t="s">
        <v>378</v>
      </c>
      <c r="Q67" t="s">
        <v>14</v>
      </c>
      <c r="R67" t="s">
        <v>366</v>
      </c>
      <c r="S67" t="s">
        <v>367</v>
      </c>
      <c r="T67" t="s">
        <v>368</v>
      </c>
      <c r="U67" t="s">
        <v>369</v>
      </c>
      <c r="V67" t="s">
        <v>98</v>
      </c>
      <c r="W67" t="s">
        <v>138</v>
      </c>
      <c r="X67" t="s">
        <v>139</v>
      </c>
      <c r="Y67" t="s">
        <v>140</v>
      </c>
      <c r="Z67" t="s">
        <v>122</v>
      </c>
      <c r="AA67" t="s">
        <v>142</v>
      </c>
      <c r="AB67" t="s">
        <v>370</v>
      </c>
      <c r="AC67" t="s">
        <v>379</v>
      </c>
      <c r="AD67" t="s">
        <v>27</v>
      </c>
      <c r="AE67" t="s">
        <v>372</v>
      </c>
      <c r="AF67" s="2">
        <v>45231</v>
      </c>
      <c r="AG67" t="s">
        <v>146</v>
      </c>
      <c r="AH67" t="s">
        <v>373</v>
      </c>
      <c r="AI67" s="2">
        <v>45231</v>
      </c>
      <c r="AJ67" t="s">
        <v>146</v>
      </c>
    </row>
    <row r="68" spans="1:36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127</v>
      </c>
      <c r="J68" t="s">
        <v>128</v>
      </c>
      <c r="K68" t="s">
        <v>129</v>
      </c>
      <c r="L68" t="s">
        <v>130</v>
      </c>
      <c r="M68" t="s">
        <v>131</v>
      </c>
      <c r="N68" t="s">
        <v>132</v>
      </c>
      <c r="O68" s="2">
        <v>45238</v>
      </c>
      <c r="P68" t="s">
        <v>378</v>
      </c>
      <c r="Q68" t="s">
        <v>114</v>
      </c>
      <c r="R68" t="s">
        <v>366</v>
      </c>
      <c r="S68" t="s">
        <v>367</v>
      </c>
      <c r="T68" t="s">
        <v>368</v>
      </c>
      <c r="U68" t="s">
        <v>369</v>
      </c>
      <c r="V68" t="s">
        <v>98</v>
      </c>
      <c r="W68" t="s">
        <v>138</v>
      </c>
      <c r="X68" t="s">
        <v>139</v>
      </c>
      <c r="Y68" t="s">
        <v>140</v>
      </c>
      <c r="Z68" t="s">
        <v>122</v>
      </c>
      <c r="AA68" t="s">
        <v>142</v>
      </c>
      <c r="AB68" t="s">
        <v>370</v>
      </c>
      <c r="AC68" t="s">
        <v>379</v>
      </c>
      <c r="AD68" t="s">
        <v>27</v>
      </c>
      <c r="AE68" t="s">
        <v>372</v>
      </c>
      <c r="AF68" s="2">
        <v>45231</v>
      </c>
      <c r="AG68" t="s">
        <v>146</v>
      </c>
      <c r="AH68" t="s">
        <v>373</v>
      </c>
      <c r="AI68" s="2">
        <v>45231</v>
      </c>
      <c r="AJ68" t="s">
        <v>146</v>
      </c>
    </row>
    <row r="69" spans="1:36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52</v>
      </c>
      <c r="J69" t="s">
        <v>53</v>
      </c>
      <c r="K69" t="s">
        <v>293</v>
      </c>
      <c r="L69" t="s">
        <v>380</v>
      </c>
      <c r="M69" t="s">
        <v>381</v>
      </c>
      <c r="N69" t="s">
        <v>382</v>
      </c>
      <c r="O69" s="2">
        <v>45238</v>
      </c>
      <c r="P69" t="s">
        <v>383</v>
      </c>
      <c r="Q69" t="s">
        <v>14</v>
      </c>
      <c r="R69" t="s">
        <v>384</v>
      </c>
      <c r="S69" t="s">
        <v>385</v>
      </c>
      <c r="T69" t="s">
        <v>386</v>
      </c>
      <c r="U69" t="s">
        <v>387</v>
      </c>
      <c r="V69" t="s">
        <v>98</v>
      </c>
      <c r="W69" t="s">
        <v>388</v>
      </c>
      <c r="X69" t="s">
        <v>21</v>
      </c>
      <c r="Y69" t="s">
        <v>121</v>
      </c>
      <c r="Z69" t="s">
        <v>389</v>
      </c>
      <c r="AA69" t="s">
        <v>390</v>
      </c>
      <c r="AB69" t="s">
        <v>391</v>
      </c>
      <c r="AC69" t="s">
        <v>392</v>
      </c>
      <c r="AD69" t="s">
        <v>27</v>
      </c>
      <c r="AE69" t="s">
        <v>393</v>
      </c>
      <c r="AF69" s="2">
        <v>45231</v>
      </c>
      <c r="AG69" t="s">
        <v>29</v>
      </c>
      <c r="AH69" t="s">
        <v>394</v>
      </c>
      <c r="AI69" s="2">
        <v>45237</v>
      </c>
      <c r="AJ69" t="s">
        <v>29</v>
      </c>
    </row>
    <row r="70" spans="1:36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52</v>
      </c>
      <c r="J70" t="s">
        <v>53</v>
      </c>
      <c r="K70" t="s">
        <v>293</v>
      </c>
      <c r="L70" t="s">
        <v>380</v>
      </c>
      <c r="M70" t="s">
        <v>381</v>
      </c>
      <c r="N70" t="s">
        <v>382</v>
      </c>
      <c r="O70" s="2">
        <v>45238</v>
      </c>
      <c r="P70" t="s">
        <v>383</v>
      </c>
      <c r="Q70" t="s">
        <v>114</v>
      </c>
      <c r="R70" t="s">
        <v>384</v>
      </c>
      <c r="S70" t="s">
        <v>385</v>
      </c>
      <c r="T70" t="s">
        <v>386</v>
      </c>
      <c r="U70" t="s">
        <v>387</v>
      </c>
      <c r="V70" t="s">
        <v>98</v>
      </c>
      <c r="W70" t="s">
        <v>388</v>
      </c>
      <c r="X70" t="s">
        <v>21</v>
      </c>
      <c r="Y70" t="s">
        <v>121</v>
      </c>
      <c r="Z70" t="s">
        <v>389</v>
      </c>
      <c r="AA70" t="s">
        <v>390</v>
      </c>
      <c r="AB70" t="s">
        <v>391</v>
      </c>
      <c r="AC70" t="s">
        <v>392</v>
      </c>
      <c r="AD70" t="s">
        <v>27</v>
      </c>
      <c r="AE70" t="s">
        <v>393</v>
      </c>
      <c r="AF70" s="2">
        <v>45231</v>
      </c>
      <c r="AG70" t="s">
        <v>29</v>
      </c>
      <c r="AH70" t="s">
        <v>394</v>
      </c>
      <c r="AI70" s="2">
        <v>45237</v>
      </c>
      <c r="AJ70" t="s">
        <v>29</v>
      </c>
    </row>
    <row r="71" spans="1:36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107</v>
      </c>
      <c r="J71" t="s">
        <v>108</v>
      </c>
      <c r="K71" t="s">
        <v>109</v>
      </c>
      <c r="L71" t="s">
        <v>318</v>
      </c>
      <c r="M71" t="s">
        <v>319</v>
      </c>
      <c r="N71" t="s">
        <v>320</v>
      </c>
      <c r="O71" s="2">
        <v>45238</v>
      </c>
      <c r="P71" t="s">
        <v>395</v>
      </c>
      <c r="Q71" t="s">
        <v>14</v>
      </c>
      <c r="R71" t="s">
        <v>336</v>
      </c>
      <c r="S71" t="s">
        <v>337</v>
      </c>
      <c r="T71" t="s">
        <v>338</v>
      </c>
      <c r="U71" t="s">
        <v>339</v>
      </c>
      <c r="V71" t="s">
        <v>119</v>
      </c>
      <c r="W71" t="s">
        <v>396</v>
      </c>
      <c r="X71" t="s">
        <v>21</v>
      </c>
      <c r="Y71" t="s">
        <v>22</v>
      </c>
      <c r="Z71" t="s">
        <v>122</v>
      </c>
      <c r="AA71" t="s">
        <v>397</v>
      </c>
      <c r="AB71" t="s">
        <v>398</v>
      </c>
      <c r="AC71" t="s">
        <v>399</v>
      </c>
      <c r="AD71" t="s">
        <v>27</v>
      </c>
      <c r="AE71" t="s">
        <v>400</v>
      </c>
      <c r="AF71" s="2">
        <v>45237</v>
      </c>
      <c r="AG71" t="s">
        <v>401</v>
      </c>
      <c r="AH71" t="s">
        <v>402</v>
      </c>
      <c r="AI71" s="2">
        <v>45237</v>
      </c>
      <c r="AJ71" t="s">
        <v>401</v>
      </c>
    </row>
    <row r="72" spans="1:36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127</v>
      </c>
      <c r="J72" t="s">
        <v>128</v>
      </c>
      <c r="K72" t="s">
        <v>129</v>
      </c>
      <c r="L72" t="s">
        <v>189</v>
      </c>
      <c r="M72" t="s">
        <v>190</v>
      </c>
      <c r="N72" t="s">
        <v>191</v>
      </c>
      <c r="O72" s="2">
        <v>45238</v>
      </c>
      <c r="P72" t="s">
        <v>403</v>
      </c>
      <c r="Q72" t="s">
        <v>14</v>
      </c>
      <c r="R72" t="s">
        <v>404</v>
      </c>
      <c r="S72" t="s">
        <v>405</v>
      </c>
      <c r="T72" t="s">
        <v>406</v>
      </c>
      <c r="U72" t="s">
        <v>407</v>
      </c>
      <c r="V72" t="s">
        <v>19</v>
      </c>
      <c r="W72" t="s">
        <v>408</v>
      </c>
      <c r="X72" t="s">
        <v>43</v>
      </c>
      <c r="Y72" t="s">
        <v>63</v>
      </c>
      <c r="Z72" t="s">
        <v>141</v>
      </c>
      <c r="AA72" t="s">
        <v>409</v>
      </c>
      <c r="AB72" t="s">
        <v>410</v>
      </c>
      <c r="AC72" t="s">
        <v>26</v>
      </c>
      <c r="AD72" t="s">
        <v>27</v>
      </c>
      <c r="AE72" t="s">
        <v>411</v>
      </c>
      <c r="AF72" s="2">
        <v>45238</v>
      </c>
      <c r="AG72" t="s">
        <v>355</v>
      </c>
      <c r="AH72" t="s">
        <v>412</v>
      </c>
      <c r="AI72" s="2">
        <v>45238</v>
      </c>
      <c r="AJ72" t="s">
        <v>355</v>
      </c>
    </row>
    <row r="73" spans="1:36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6</v>
      </c>
      <c r="I73" t="s">
        <v>127</v>
      </c>
      <c r="J73" t="s">
        <v>128</v>
      </c>
      <c r="K73" t="s">
        <v>129</v>
      </c>
      <c r="L73" t="s">
        <v>189</v>
      </c>
      <c r="M73" t="s">
        <v>190</v>
      </c>
      <c r="N73" t="s">
        <v>191</v>
      </c>
      <c r="O73" s="2">
        <v>45238</v>
      </c>
      <c r="P73" t="s">
        <v>413</v>
      </c>
      <c r="Q73" t="s">
        <v>14</v>
      </c>
      <c r="R73" t="s">
        <v>404</v>
      </c>
      <c r="S73" t="s">
        <v>405</v>
      </c>
      <c r="T73" t="s">
        <v>406</v>
      </c>
      <c r="U73" t="s">
        <v>407</v>
      </c>
      <c r="V73" t="s">
        <v>19</v>
      </c>
      <c r="W73" t="s">
        <v>408</v>
      </c>
      <c r="X73" t="s">
        <v>43</v>
      </c>
      <c r="Y73" t="s">
        <v>63</v>
      </c>
      <c r="Z73" t="s">
        <v>141</v>
      </c>
      <c r="AA73" t="s">
        <v>409</v>
      </c>
      <c r="AB73" t="s">
        <v>410</v>
      </c>
      <c r="AC73" t="s">
        <v>26</v>
      </c>
      <c r="AD73" t="s">
        <v>27</v>
      </c>
      <c r="AE73" t="s">
        <v>411</v>
      </c>
      <c r="AF73" s="2">
        <v>45238</v>
      </c>
      <c r="AG73" t="s">
        <v>355</v>
      </c>
      <c r="AH73" t="s">
        <v>412</v>
      </c>
      <c r="AI73" s="2">
        <v>45238</v>
      </c>
      <c r="AJ73" t="s">
        <v>355</v>
      </c>
    </row>
    <row r="74" spans="1:36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127</v>
      </c>
      <c r="J74" t="s">
        <v>128</v>
      </c>
      <c r="K74" t="s">
        <v>129</v>
      </c>
      <c r="L74" t="s">
        <v>189</v>
      </c>
      <c r="M74" t="s">
        <v>190</v>
      </c>
      <c r="N74" t="s">
        <v>191</v>
      </c>
      <c r="O74" s="2">
        <v>45238</v>
      </c>
      <c r="P74" t="s">
        <v>414</v>
      </c>
      <c r="Q74" t="s">
        <v>14</v>
      </c>
      <c r="R74" t="s">
        <v>404</v>
      </c>
      <c r="S74" t="s">
        <v>405</v>
      </c>
      <c r="T74" t="s">
        <v>406</v>
      </c>
      <c r="U74" t="s">
        <v>407</v>
      </c>
      <c r="V74" t="s">
        <v>19</v>
      </c>
      <c r="W74" t="s">
        <v>408</v>
      </c>
      <c r="X74" t="s">
        <v>43</v>
      </c>
      <c r="Y74" t="s">
        <v>63</v>
      </c>
      <c r="Z74" t="s">
        <v>141</v>
      </c>
      <c r="AA74" t="s">
        <v>409</v>
      </c>
      <c r="AB74" t="s">
        <v>410</v>
      </c>
      <c r="AC74" t="s">
        <v>26</v>
      </c>
      <c r="AD74" t="s">
        <v>27</v>
      </c>
      <c r="AE74" t="s">
        <v>411</v>
      </c>
      <c r="AF74" s="2">
        <v>45238</v>
      </c>
      <c r="AG74" t="s">
        <v>355</v>
      </c>
      <c r="AH74" t="s">
        <v>412</v>
      </c>
      <c r="AI74" s="2">
        <v>45238</v>
      </c>
      <c r="AJ74" t="s">
        <v>355</v>
      </c>
    </row>
    <row r="75" spans="1:36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127</v>
      </c>
      <c r="J75" t="s">
        <v>128</v>
      </c>
      <c r="K75" t="s">
        <v>129</v>
      </c>
      <c r="L75" t="s">
        <v>189</v>
      </c>
      <c r="M75" t="s">
        <v>190</v>
      </c>
      <c r="N75" t="s">
        <v>191</v>
      </c>
      <c r="O75" s="2">
        <v>45238</v>
      </c>
      <c r="P75" t="s">
        <v>415</v>
      </c>
      <c r="Q75" t="s">
        <v>14</v>
      </c>
      <c r="R75" t="s">
        <v>404</v>
      </c>
      <c r="S75" t="s">
        <v>405</v>
      </c>
      <c r="T75" t="s">
        <v>406</v>
      </c>
      <c r="U75" t="s">
        <v>407</v>
      </c>
      <c r="V75" t="s">
        <v>19</v>
      </c>
      <c r="W75" t="s">
        <v>408</v>
      </c>
      <c r="X75" t="s">
        <v>43</v>
      </c>
      <c r="Y75" t="s">
        <v>63</v>
      </c>
      <c r="Z75" t="s">
        <v>141</v>
      </c>
      <c r="AA75" t="s">
        <v>409</v>
      </c>
      <c r="AB75" t="s">
        <v>410</v>
      </c>
      <c r="AC75" t="s">
        <v>26</v>
      </c>
      <c r="AD75" t="s">
        <v>27</v>
      </c>
      <c r="AE75" t="s">
        <v>411</v>
      </c>
      <c r="AF75" s="2">
        <v>45238</v>
      </c>
      <c r="AG75" t="s">
        <v>355</v>
      </c>
      <c r="AH75" t="s">
        <v>412</v>
      </c>
      <c r="AI75" s="2">
        <v>45238</v>
      </c>
      <c r="AJ75" t="s">
        <v>355</v>
      </c>
    </row>
    <row r="76" spans="1:36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127</v>
      </c>
      <c r="J76" t="s">
        <v>128</v>
      </c>
      <c r="K76" t="s">
        <v>129</v>
      </c>
      <c r="L76" t="s">
        <v>189</v>
      </c>
      <c r="M76" t="s">
        <v>190</v>
      </c>
      <c r="N76" t="s">
        <v>191</v>
      </c>
      <c r="O76" s="2">
        <v>45238</v>
      </c>
      <c r="P76" t="s">
        <v>416</v>
      </c>
      <c r="Q76" t="s">
        <v>14</v>
      </c>
      <c r="R76" t="s">
        <v>404</v>
      </c>
      <c r="S76" t="s">
        <v>405</v>
      </c>
      <c r="T76" t="s">
        <v>406</v>
      </c>
      <c r="U76" t="s">
        <v>407</v>
      </c>
      <c r="V76" t="s">
        <v>19</v>
      </c>
      <c r="W76" t="s">
        <v>408</v>
      </c>
      <c r="X76" t="s">
        <v>43</v>
      </c>
      <c r="Y76" t="s">
        <v>63</v>
      </c>
      <c r="Z76" t="s">
        <v>141</v>
      </c>
      <c r="AA76" t="s">
        <v>409</v>
      </c>
      <c r="AB76" t="s">
        <v>410</v>
      </c>
      <c r="AC76" t="s">
        <v>26</v>
      </c>
      <c r="AD76" t="s">
        <v>27</v>
      </c>
      <c r="AE76" t="s">
        <v>411</v>
      </c>
      <c r="AF76" s="2">
        <v>45238</v>
      </c>
      <c r="AG76" t="s">
        <v>355</v>
      </c>
      <c r="AH76" t="s">
        <v>412</v>
      </c>
      <c r="AI76" s="2">
        <v>45238</v>
      </c>
      <c r="AJ76" t="s">
        <v>355</v>
      </c>
    </row>
    <row r="77" spans="1:36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127</v>
      </c>
      <c r="J77" t="s">
        <v>128</v>
      </c>
      <c r="K77" t="s">
        <v>129</v>
      </c>
      <c r="L77" t="s">
        <v>189</v>
      </c>
      <c r="M77" t="s">
        <v>190</v>
      </c>
      <c r="N77" t="s">
        <v>191</v>
      </c>
      <c r="O77" s="2">
        <v>45238</v>
      </c>
      <c r="P77" t="s">
        <v>417</v>
      </c>
      <c r="Q77" t="s">
        <v>14</v>
      </c>
      <c r="R77" t="s">
        <v>404</v>
      </c>
      <c r="S77" t="s">
        <v>405</v>
      </c>
      <c r="T77" t="s">
        <v>406</v>
      </c>
      <c r="U77" t="s">
        <v>407</v>
      </c>
      <c r="V77" t="s">
        <v>19</v>
      </c>
      <c r="W77" t="s">
        <v>408</v>
      </c>
      <c r="X77" t="s">
        <v>43</v>
      </c>
      <c r="Y77" t="s">
        <v>63</v>
      </c>
      <c r="Z77" t="s">
        <v>141</v>
      </c>
      <c r="AA77" t="s">
        <v>409</v>
      </c>
      <c r="AB77" t="s">
        <v>410</v>
      </c>
      <c r="AC77" t="s">
        <v>26</v>
      </c>
      <c r="AD77" t="s">
        <v>27</v>
      </c>
      <c r="AE77" t="s">
        <v>411</v>
      </c>
      <c r="AF77" s="2">
        <v>45238</v>
      </c>
      <c r="AG77" t="s">
        <v>355</v>
      </c>
      <c r="AH77" t="s">
        <v>412</v>
      </c>
      <c r="AI77" s="2">
        <v>45238</v>
      </c>
      <c r="AJ77" t="s">
        <v>355</v>
      </c>
    </row>
    <row r="78" spans="1:36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6</v>
      </c>
      <c r="I78" t="s">
        <v>107</v>
      </c>
      <c r="J78" t="s">
        <v>108</v>
      </c>
      <c r="K78" t="s">
        <v>418</v>
      </c>
      <c r="L78" t="s">
        <v>419</v>
      </c>
      <c r="M78" t="s">
        <v>420</v>
      </c>
      <c r="N78" t="s">
        <v>421</v>
      </c>
      <c r="O78" s="2">
        <v>45238</v>
      </c>
      <c r="P78" t="s">
        <v>422</v>
      </c>
      <c r="Q78" t="s">
        <v>14</v>
      </c>
      <c r="R78" t="s">
        <v>423</v>
      </c>
      <c r="S78" t="s">
        <v>424</v>
      </c>
      <c r="T78" t="s">
        <v>425</v>
      </c>
      <c r="U78" t="s">
        <v>426</v>
      </c>
      <c r="V78" t="s">
        <v>98</v>
      </c>
      <c r="W78" t="s">
        <v>427</v>
      </c>
      <c r="X78" t="s">
        <v>21</v>
      </c>
      <c r="Y78" t="s">
        <v>121</v>
      </c>
      <c r="Z78" t="s">
        <v>86</v>
      </c>
      <c r="AA78" t="s">
        <v>24</v>
      </c>
      <c r="AB78" t="s">
        <v>428</v>
      </c>
      <c r="AC78" t="s">
        <v>429</v>
      </c>
      <c r="AD78" t="s">
        <v>27</v>
      </c>
      <c r="AE78" t="s">
        <v>430</v>
      </c>
      <c r="AF78" s="2">
        <v>45215</v>
      </c>
      <c r="AG78" t="s">
        <v>29</v>
      </c>
      <c r="AH78" t="s">
        <v>431</v>
      </c>
      <c r="AI78" s="2">
        <v>45224</v>
      </c>
      <c r="AJ78" t="s">
        <v>29</v>
      </c>
    </row>
    <row r="79" spans="1:36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6</v>
      </c>
      <c r="I79" t="s">
        <v>107</v>
      </c>
      <c r="J79" t="s">
        <v>108</v>
      </c>
      <c r="K79" t="s">
        <v>418</v>
      </c>
      <c r="L79" t="s">
        <v>419</v>
      </c>
      <c r="M79" t="s">
        <v>420</v>
      </c>
      <c r="N79" t="s">
        <v>421</v>
      </c>
      <c r="O79" s="2">
        <v>45238</v>
      </c>
      <c r="P79" t="s">
        <v>422</v>
      </c>
      <c r="Q79" t="s">
        <v>114</v>
      </c>
      <c r="R79" t="s">
        <v>423</v>
      </c>
      <c r="S79" t="s">
        <v>424</v>
      </c>
      <c r="T79" t="s">
        <v>425</v>
      </c>
      <c r="U79" t="s">
        <v>426</v>
      </c>
      <c r="V79" t="s">
        <v>98</v>
      </c>
      <c r="W79" t="s">
        <v>427</v>
      </c>
      <c r="X79" t="s">
        <v>21</v>
      </c>
      <c r="Y79" t="s">
        <v>121</v>
      </c>
      <c r="Z79" t="s">
        <v>86</v>
      </c>
      <c r="AA79" t="s">
        <v>24</v>
      </c>
      <c r="AB79" t="s">
        <v>428</v>
      </c>
      <c r="AC79" t="s">
        <v>429</v>
      </c>
      <c r="AD79" t="s">
        <v>27</v>
      </c>
      <c r="AE79" t="s">
        <v>430</v>
      </c>
      <c r="AF79" s="2">
        <v>45215</v>
      </c>
      <c r="AG79" t="s">
        <v>29</v>
      </c>
      <c r="AH79" t="s">
        <v>431</v>
      </c>
      <c r="AI79" s="2">
        <v>45224</v>
      </c>
      <c r="AJ79" t="s">
        <v>29</v>
      </c>
    </row>
    <row r="80" spans="1:36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107</v>
      </c>
      <c r="J80" t="s">
        <v>108</v>
      </c>
      <c r="K80" t="s">
        <v>109</v>
      </c>
      <c r="L80" t="s">
        <v>110</v>
      </c>
      <c r="M80" t="s">
        <v>111</v>
      </c>
      <c r="N80" t="s">
        <v>112</v>
      </c>
      <c r="O80" s="2">
        <v>45239</v>
      </c>
      <c r="P80" t="s">
        <v>432</v>
      </c>
      <c r="Q80" t="s">
        <v>14</v>
      </c>
      <c r="R80" t="s">
        <v>336</v>
      </c>
      <c r="S80" t="s">
        <v>337</v>
      </c>
      <c r="T80" t="s">
        <v>338</v>
      </c>
      <c r="U80" t="s">
        <v>339</v>
      </c>
      <c r="V80" t="s">
        <v>98</v>
      </c>
      <c r="W80" t="s">
        <v>340</v>
      </c>
      <c r="X80" t="s">
        <v>21</v>
      </c>
      <c r="Y80" t="s">
        <v>121</v>
      </c>
      <c r="Z80" t="s">
        <v>122</v>
      </c>
      <c r="AA80" t="s">
        <v>397</v>
      </c>
      <c r="AB80" t="s">
        <v>342</v>
      </c>
      <c r="AC80" t="s">
        <v>433</v>
      </c>
      <c r="AD80" t="s">
        <v>27</v>
      </c>
      <c r="AE80" t="s">
        <v>434</v>
      </c>
      <c r="AF80" s="2">
        <v>45237</v>
      </c>
      <c r="AG80" t="s">
        <v>355</v>
      </c>
      <c r="AH80" t="s">
        <v>435</v>
      </c>
      <c r="AI80" s="2">
        <v>45239</v>
      </c>
      <c r="AJ80" t="s">
        <v>355</v>
      </c>
    </row>
    <row r="81" spans="1:36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107</v>
      </c>
      <c r="J81" t="s">
        <v>108</v>
      </c>
      <c r="K81" t="s">
        <v>109</v>
      </c>
      <c r="L81" t="s">
        <v>110</v>
      </c>
      <c r="M81" t="s">
        <v>111</v>
      </c>
      <c r="N81" t="s">
        <v>112</v>
      </c>
      <c r="O81" s="2">
        <v>45239</v>
      </c>
      <c r="P81" t="s">
        <v>436</v>
      </c>
      <c r="Q81" t="s">
        <v>114</v>
      </c>
      <c r="R81" t="s">
        <v>336</v>
      </c>
      <c r="S81" t="s">
        <v>337</v>
      </c>
      <c r="T81" t="s">
        <v>338</v>
      </c>
      <c r="U81" t="s">
        <v>339</v>
      </c>
      <c r="V81" t="s">
        <v>98</v>
      </c>
      <c r="W81" t="s">
        <v>340</v>
      </c>
      <c r="X81" t="s">
        <v>21</v>
      </c>
      <c r="Y81" t="s">
        <v>121</v>
      </c>
      <c r="Z81" t="s">
        <v>122</v>
      </c>
      <c r="AA81" t="s">
        <v>397</v>
      </c>
      <c r="AB81" t="s">
        <v>342</v>
      </c>
      <c r="AC81" t="s">
        <v>437</v>
      </c>
      <c r="AD81" t="s">
        <v>27</v>
      </c>
      <c r="AE81" t="s">
        <v>434</v>
      </c>
      <c r="AF81" s="2">
        <v>45237</v>
      </c>
      <c r="AG81" t="s">
        <v>355</v>
      </c>
      <c r="AH81" t="s">
        <v>435</v>
      </c>
      <c r="AI81" s="2">
        <v>45239</v>
      </c>
      <c r="AJ81" t="s">
        <v>355</v>
      </c>
    </row>
    <row r="82" spans="1:36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5</v>
      </c>
      <c r="H82" t="s">
        <v>6</v>
      </c>
      <c r="I82" t="s">
        <v>107</v>
      </c>
      <c r="J82" t="s">
        <v>108</v>
      </c>
      <c r="K82" t="s">
        <v>109</v>
      </c>
      <c r="L82" t="s">
        <v>110</v>
      </c>
      <c r="M82" t="s">
        <v>111</v>
      </c>
      <c r="N82" t="s">
        <v>112</v>
      </c>
      <c r="O82" s="2">
        <v>45239</v>
      </c>
      <c r="P82" t="s">
        <v>438</v>
      </c>
      <c r="Q82" t="s">
        <v>114</v>
      </c>
      <c r="R82" t="s">
        <v>336</v>
      </c>
      <c r="S82" t="s">
        <v>337</v>
      </c>
      <c r="T82" t="s">
        <v>338</v>
      </c>
      <c r="U82" t="s">
        <v>339</v>
      </c>
      <c r="V82" t="s">
        <v>98</v>
      </c>
      <c r="W82" t="s">
        <v>340</v>
      </c>
      <c r="X82" t="s">
        <v>21</v>
      </c>
      <c r="Y82" t="s">
        <v>121</v>
      </c>
      <c r="Z82" t="s">
        <v>122</v>
      </c>
      <c r="AA82" t="s">
        <v>397</v>
      </c>
      <c r="AB82" t="s">
        <v>342</v>
      </c>
      <c r="AC82" t="s">
        <v>439</v>
      </c>
      <c r="AD82" t="s">
        <v>27</v>
      </c>
      <c r="AE82" t="s">
        <v>434</v>
      </c>
      <c r="AF82" s="2">
        <v>45237</v>
      </c>
      <c r="AG82" t="s">
        <v>355</v>
      </c>
      <c r="AH82" t="s">
        <v>435</v>
      </c>
      <c r="AI82" s="2">
        <v>45239</v>
      </c>
      <c r="AJ82" t="s">
        <v>355</v>
      </c>
    </row>
    <row r="83" spans="1:36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6</v>
      </c>
      <c r="I83" t="s">
        <v>107</v>
      </c>
      <c r="J83" t="s">
        <v>108</v>
      </c>
      <c r="K83" t="s">
        <v>109</v>
      </c>
      <c r="L83" t="s">
        <v>110</v>
      </c>
      <c r="M83" t="s">
        <v>111</v>
      </c>
      <c r="N83" t="s">
        <v>112</v>
      </c>
      <c r="O83" s="2">
        <v>45239</v>
      </c>
      <c r="P83" t="s">
        <v>440</v>
      </c>
      <c r="Q83" t="s">
        <v>14</v>
      </c>
      <c r="R83" t="s">
        <v>336</v>
      </c>
      <c r="S83" t="s">
        <v>337</v>
      </c>
      <c r="T83" t="s">
        <v>338</v>
      </c>
      <c r="U83" t="s">
        <v>339</v>
      </c>
      <c r="V83" t="s">
        <v>98</v>
      </c>
      <c r="W83" t="s">
        <v>340</v>
      </c>
      <c r="X83" t="s">
        <v>21</v>
      </c>
      <c r="Y83" t="s">
        <v>121</v>
      </c>
      <c r="Z83" t="s">
        <v>122</v>
      </c>
      <c r="AA83" t="s">
        <v>397</v>
      </c>
      <c r="AB83" t="s">
        <v>342</v>
      </c>
      <c r="AC83" t="s">
        <v>441</v>
      </c>
      <c r="AD83" t="s">
        <v>27</v>
      </c>
      <c r="AE83" t="s">
        <v>434</v>
      </c>
      <c r="AF83" s="2">
        <v>45237</v>
      </c>
      <c r="AG83" t="s">
        <v>355</v>
      </c>
      <c r="AH83" t="s">
        <v>435</v>
      </c>
      <c r="AI83" s="2">
        <v>45239</v>
      </c>
      <c r="AJ83" t="s">
        <v>355</v>
      </c>
    </row>
    <row r="84" spans="1:36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5</v>
      </c>
      <c r="H84" t="s">
        <v>6</v>
      </c>
      <c r="I84" t="s">
        <v>107</v>
      </c>
      <c r="J84" t="s">
        <v>108</v>
      </c>
      <c r="K84" t="s">
        <v>109</v>
      </c>
      <c r="L84" t="s">
        <v>110</v>
      </c>
      <c r="M84" t="s">
        <v>111</v>
      </c>
      <c r="N84" t="s">
        <v>112</v>
      </c>
      <c r="O84" s="2">
        <v>45239</v>
      </c>
      <c r="P84" t="s">
        <v>436</v>
      </c>
      <c r="Q84" t="s">
        <v>14</v>
      </c>
      <c r="R84" t="s">
        <v>336</v>
      </c>
      <c r="S84" t="s">
        <v>337</v>
      </c>
      <c r="T84" t="s">
        <v>338</v>
      </c>
      <c r="U84" t="s">
        <v>339</v>
      </c>
      <c r="V84" t="s">
        <v>98</v>
      </c>
      <c r="W84" t="s">
        <v>340</v>
      </c>
      <c r="X84" t="s">
        <v>21</v>
      </c>
      <c r="Y84" t="s">
        <v>121</v>
      </c>
      <c r="Z84" t="s">
        <v>122</v>
      </c>
      <c r="AA84" t="s">
        <v>397</v>
      </c>
      <c r="AB84" t="s">
        <v>342</v>
      </c>
      <c r="AC84" t="s">
        <v>437</v>
      </c>
      <c r="AD84" t="s">
        <v>27</v>
      </c>
      <c r="AE84" t="s">
        <v>434</v>
      </c>
      <c r="AF84" s="2">
        <v>45237</v>
      </c>
      <c r="AG84" t="s">
        <v>355</v>
      </c>
      <c r="AH84" t="s">
        <v>435</v>
      </c>
      <c r="AI84" s="2">
        <v>45239</v>
      </c>
      <c r="AJ84" t="s">
        <v>355</v>
      </c>
    </row>
    <row r="85" spans="1:36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5</v>
      </c>
      <c r="H85" t="s">
        <v>6</v>
      </c>
      <c r="I85" t="s">
        <v>107</v>
      </c>
      <c r="J85" t="s">
        <v>108</v>
      </c>
      <c r="K85" t="s">
        <v>109</v>
      </c>
      <c r="L85" t="s">
        <v>110</v>
      </c>
      <c r="M85" t="s">
        <v>111</v>
      </c>
      <c r="N85" t="s">
        <v>112</v>
      </c>
      <c r="O85" s="2">
        <v>45239</v>
      </c>
      <c r="P85" t="s">
        <v>440</v>
      </c>
      <c r="Q85" t="s">
        <v>114</v>
      </c>
      <c r="R85" t="s">
        <v>336</v>
      </c>
      <c r="S85" t="s">
        <v>337</v>
      </c>
      <c r="T85" t="s">
        <v>338</v>
      </c>
      <c r="U85" t="s">
        <v>339</v>
      </c>
      <c r="V85" t="s">
        <v>98</v>
      </c>
      <c r="W85" t="s">
        <v>340</v>
      </c>
      <c r="X85" t="s">
        <v>21</v>
      </c>
      <c r="Y85" t="s">
        <v>121</v>
      </c>
      <c r="Z85" t="s">
        <v>122</v>
      </c>
      <c r="AA85" t="s">
        <v>397</v>
      </c>
      <c r="AB85" t="s">
        <v>342</v>
      </c>
      <c r="AC85" t="s">
        <v>441</v>
      </c>
      <c r="AD85" t="s">
        <v>27</v>
      </c>
      <c r="AE85" t="s">
        <v>434</v>
      </c>
      <c r="AF85" s="2">
        <v>45237</v>
      </c>
      <c r="AG85" t="s">
        <v>355</v>
      </c>
      <c r="AH85" t="s">
        <v>435</v>
      </c>
      <c r="AI85" s="2">
        <v>45239</v>
      </c>
      <c r="AJ85" t="s">
        <v>355</v>
      </c>
    </row>
    <row r="86" spans="1:36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5</v>
      </c>
      <c r="H86" t="s">
        <v>6</v>
      </c>
      <c r="I86" t="s">
        <v>107</v>
      </c>
      <c r="J86" t="s">
        <v>108</v>
      </c>
      <c r="K86" t="s">
        <v>109</v>
      </c>
      <c r="L86" t="s">
        <v>110</v>
      </c>
      <c r="M86" t="s">
        <v>111</v>
      </c>
      <c r="N86" t="s">
        <v>112</v>
      </c>
      <c r="O86" s="2">
        <v>45239</v>
      </c>
      <c r="P86" t="s">
        <v>442</v>
      </c>
      <c r="Q86" t="s">
        <v>14</v>
      </c>
      <c r="R86" t="s">
        <v>336</v>
      </c>
      <c r="S86" t="s">
        <v>337</v>
      </c>
      <c r="T86" t="s">
        <v>338</v>
      </c>
      <c r="U86" t="s">
        <v>339</v>
      </c>
      <c r="V86" t="s">
        <v>98</v>
      </c>
      <c r="W86" t="s">
        <v>340</v>
      </c>
      <c r="X86" t="s">
        <v>21</v>
      </c>
      <c r="Y86" t="s">
        <v>121</v>
      </c>
      <c r="Z86" t="s">
        <v>122</v>
      </c>
      <c r="AA86" t="s">
        <v>397</v>
      </c>
      <c r="AB86" t="s">
        <v>342</v>
      </c>
      <c r="AC86" t="s">
        <v>443</v>
      </c>
      <c r="AD86" t="s">
        <v>27</v>
      </c>
      <c r="AE86" t="s">
        <v>434</v>
      </c>
      <c r="AF86" s="2">
        <v>45237</v>
      </c>
      <c r="AG86" t="s">
        <v>355</v>
      </c>
      <c r="AH86" t="s">
        <v>435</v>
      </c>
      <c r="AI86" s="2">
        <v>45239</v>
      </c>
      <c r="AJ86" t="s">
        <v>355</v>
      </c>
    </row>
    <row r="87" spans="1:36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5</v>
      </c>
      <c r="H87" t="s">
        <v>6</v>
      </c>
      <c r="I87" t="s">
        <v>107</v>
      </c>
      <c r="J87" t="s">
        <v>108</v>
      </c>
      <c r="K87" t="s">
        <v>109</v>
      </c>
      <c r="L87" t="s">
        <v>110</v>
      </c>
      <c r="M87" t="s">
        <v>111</v>
      </c>
      <c r="N87" t="s">
        <v>112</v>
      </c>
      <c r="O87" s="2">
        <v>45239</v>
      </c>
      <c r="P87" t="s">
        <v>442</v>
      </c>
      <c r="Q87" t="s">
        <v>114</v>
      </c>
      <c r="R87" t="s">
        <v>336</v>
      </c>
      <c r="S87" t="s">
        <v>337</v>
      </c>
      <c r="T87" t="s">
        <v>338</v>
      </c>
      <c r="U87" t="s">
        <v>339</v>
      </c>
      <c r="V87" t="s">
        <v>98</v>
      </c>
      <c r="W87" t="s">
        <v>340</v>
      </c>
      <c r="X87" t="s">
        <v>21</v>
      </c>
      <c r="Y87" t="s">
        <v>121</v>
      </c>
      <c r="Z87" t="s">
        <v>122</v>
      </c>
      <c r="AA87" t="s">
        <v>397</v>
      </c>
      <c r="AB87" t="s">
        <v>342</v>
      </c>
      <c r="AC87" t="s">
        <v>443</v>
      </c>
      <c r="AD87" t="s">
        <v>27</v>
      </c>
      <c r="AE87" t="s">
        <v>434</v>
      </c>
      <c r="AF87" s="2">
        <v>45237</v>
      </c>
      <c r="AG87" t="s">
        <v>355</v>
      </c>
      <c r="AH87" t="s">
        <v>435</v>
      </c>
      <c r="AI87" s="2">
        <v>45239</v>
      </c>
      <c r="AJ87" t="s">
        <v>355</v>
      </c>
    </row>
    <row r="88" spans="1:36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5</v>
      </c>
      <c r="H88" t="s">
        <v>6</v>
      </c>
      <c r="I88" t="s">
        <v>107</v>
      </c>
      <c r="J88" t="s">
        <v>108</v>
      </c>
      <c r="K88" t="s">
        <v>109</v>
      </c>
      <c r="L88" t="s">
        <v>110</v>
      </c>
      <c r="M88" t="s">
        <v>111</v>
      </c>
      <c r="N88" t="s">
        <v>112</v>
      </c>
      <c r="O88" s="2">
        <v>45239</v>
      </c>
      <c r="P88" t="s">
        <v>432</v>
      </c>
      <c r="Q88" t="s">
        <v>114</v>
      </c>
      <c r="R88" t="s">
        <v>336</v>
      </c>
      <c r="S88" t="s">
        <v>337</v>
      </c>
      <c r="T88" t="s">
        <v>338</v>
      </c>
      <c r="U88" t="s">
        <v>339</v>
      </c>
      <c r="V88" t="s">
        <v>98</v>
      </c>
      <c r="W88" t="s">
        <v>340</v>
      </c>
      <c r="X88" t="s">
        <v>21</v>
      </c>
      <c r="Y88" t="s">
        <v>121</v>
      </c>
      <c r="Z88" t="s">
        <v>122</v>
      </c>
      <c r="AA88" t="s">
        <v>397</v>
      </c>
      <c r="AB88" t="s">
        <v>342</v>
      </c>
      <c r="AC88" t="s">
        <v>433</v>
      </c>
      <c r="AD88" t="s">
        <v>27</v>
      </c>
      <c r="AE88" t="s">
        <v>434</v>
      </c>
      <c r="AF88" s="2">
        <v>45237</v>
      </c>
      <c r="AG88" t="s">
        <v>355</v>
      </c>
      <c r="AH88" t="s">
        <v>435</v>
      </c>
      <c r="AI88" s="2">
        <v>45239</v>
      </c>
      <c r="AJ88" t="s">
        <v>355</v>
      </c>
    </row>
    <row r="89" spans="1:36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5</v>
      </c>
      <c r="H89" t="s">
        <v>6</v>
      </c>
      <c r="I89" t="s">
        <v>107</v>
      </c>
      <c r="J89" t="s">
        <v>108</v>
      </c>
      <c r="K89" t="s">
        <v>109</v>
      </c>
      <c r="L89" t="s">
        <v>110</v>
      </c>
      <c r="M89" t="s">
        <v>111</v>
      </c>
      <c r="N89" t="s">
        <v>112</v>
      </c>
      <c r="O89" s="2">
        <v>45239</v>
      </c>
      <c r="P89" t="s">
        <v>444</v>
      </c>
      <c r="Q89" t="s">
        <v>14</v>
      </c>
      <c r="R89" t="s">
        <v>336</v>
      </c>
      <c r="S89" t="s">
        <v>337</v>
      </c>
      <c r="T89" t="s">
        <v>338</v>
      </c>
      <c r="U89" t="s">
        <v>339</v>
      </c>
      <c r="V89" t="s">
        <v>98</v>
      </c>
      <c r="W89" t="s">
        <v>340</v>
      </c>
      <c r="X89" t="s">
        <v>21</v>
      </c>
      <c r="Y89" t="s">
        <v>121</v>
      </c>
      <c r="Z89" t="s">
        <v>122</v>
      </c>
      <c r="AA89" t="s">
        <v>397</v>
      </c>
      <c r="AB89" t="s">
        <v>342</v>
      </c>
      <c r="AC89" t="s">
        <v>445</v>
      </c>
      <c r="AD89" t="s">
        <v>27</v>
      </c>
      <c r="AE89" t="s">
        <v>434</v>
      </c>
      <c r="AF89" s="2">
        <v>45237</v>
      </c>
      <c r="AG89" t="s">
        <v>355</v>
      </c>
      <c r="AH89" t="s">
        <v>435</v>
      </c>
      <c r="AI89" s="2">
        <v>45239</v>
      </c>
      <c r="AJ89" t="s">
        <v>355</v>
      </c>
    </row>
    <row r="90" spans="1:36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5</v>
      </c>
      <c r="H90" t="s">
        <v>6</v>
      </c>
      <c r="I90" t="s">
        <v>107</v>
      </c>
      <c r="J90" t="s">
        <v>108</v>
      </c>
      <c r="K90" t="s">
        <v>109</v>
      </c>
      <c r="L90" t="s">
        <v>110</v>
      </c>
      <c r="M90" t="s">
        <v>111</v>
      </c>
      <c r="N90" t="s">
        <v>112</v>
      </c>
      <c r="O90" s="2">
        <v>45239</v>
      </c>
      <c r="P90" t="s">
        <v>438</v>
      </c>
      <c r="Q90" t="s">
        <v>14</v>
      </c>
      <c r="R90" t="s">
        <v>336</v>
      </c>
      <c r="S90" t="s">
        <v>337</v>
      </c>
      <c r="T90" t="s">
        <v>338</v>
      </c>
      <c r="U90" t="s">
        <v>339</v>
      </c>
      <c r="V90" t="s">
        <v>98</v>
      </c>
      <c r="W90" t="s">
        <v>340</v>
      </c>
      <c r="X90" t="s">
        <v>21</v>
      </c>
      <c r="Y90" t="s">
        <v>121</v>
      </c>
      <c r="Z90" t="s">
        <v>122</v>
      </c>
      <c r="AA90" t="s">
        <v>397</v>
      </c>
      <c r="AB90" t="s">
        <v>342</v>
      </c>
      <c r="AC90" t="s">
        <v>439</v>
      </c>
      <c r="AD90" t="s">
        <v>27</v>
      </c>
      <c r="AE90" t="s">
        <v>434</v>
      </c>
      <c r="AF90" s="2">
        <v>45237</v>
      </c>
      <c r="AG90" t="s">
        <v>355</v>
      </c>
      <c r="AH90" t="s">
        <v>435</v>
      </c>
      <c r="AI90" s="2">
        <v>45239</v>
      </c>
      <c r="AJ90" t="s">
        <v>355</v>
      </c>
    </row>
    <row r="91" spans="1:36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5</v>
      </c>
      <c r="H91" t="s">
        <v>6</v>
      </c>
      <c r="I91" t="s">
        <v>107</v>
      </c>
      <c r="J91" t="s">
        <v>108</v>
      </c>
      <c r="K91" t="s">
        <v>109</v>
      </c>
      <c r="L91" t="s">
        <v>110</v>
      </c>
      <c r="M91" t="s">
        <v>111</v>
      </c>
      <c r="N91" t="s">
        <v>112</v>
      </c>
      <c r="O91" s="2">
        <v>45239</v>
      </c>
      <c r="P91" t="s">
        <v>444</v>
      </c>
      <c r="Q91" t="s">
        <v>114</v>
      </c>
      <c r="R91" t="s">
        <v>336</v>
      </c>
      <c r="S91" t="s">
        <v>337</v>
      </c>
      <c r="T91" t="s">
        <v>338</v>
      </c>
      <c r="U91" t="s">
        <v>339</v>
      </c>
      <c r="V91" t="s">
        <v>98</v>
      </c>
      <c r="W91" t="s">
        <v>340</v>
      </c>
      <c r="X91" t="s">
        <v>21</v>
      </c>
      <c r="Y91" t="s">
        <v>121</v>
      </c>
      <c r="Z91" t="s">
        <v>122</v>
      </c>
      <c r="AA91" t="s">
        <v>397</v>
      </c>
      <c r="AB91" t="s">
        <v>342</v>
      </c>
      <c r="AC91" t="s">
        <v>445</v>
      </c>
      <c r="AD91" t="s">
        <v>27</v>
      </c>
      <c r="AE91" t="s">
        <v>434</v>
      </c>
      <c r="AF91" s="2">
        <v>45237</v>
      </c>
      <c r="AG91" t="s">
        <v>355</v>
      </c>
      <c r="AH91" t="s">
        <v>435</v>
      </c>
      <c r="AI91" s="2">
        <v>45239</v>
      </c>
      <c r="AJ91" t="s">
        <v>355</v>
      </c>
    </row>
    <row r="92" spans="1:36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5</v>
      </c>
      <c r="H92" t="s">
        <v>6</v>
      </c>
      <c r="I92" t="s">
        <v>52</v>
      </c>
      <c r="J92" t="s">
        <v>53</v>
      </c>
      <c r="K92" t="s">
        <v>293</v>
      </c>
      <c r="L92" t="s">
        <v>446</v>
      </c>
      <c r="M92" t="s">
        <v>447</v>
      </c>
      <c r="N92" t="s">
        <v>448</v>
      </c>
      <c r="O92" s="2">
        <v>45239</v>
      </c>
      <c r="P92" t="s">
        <v>449</v>
      </c>
      <c r="Q92" t="s">
        <v>114</v>
      </c>
      <c r="R92" t="s">
        <v>450</v>
      </c>
      <c r="S92" t="s">
        <v>451</v>
      </c>
      <c r="T92" t="s">
        <v>452</v>
      </c>
      <c r="U92" t="s">
        <v>453</v>
      </c>
      <c r="V92" t="s">
        <v>98</v>
      </c>
      <c r="W92" t="s">
        <v>388</v>
      </c>
      <c r="X92" t="s">
        <v>21</v>
      </c>
      <c r="Y92" t="s">
        <v>121</v>
      </c>
      <c r="Z92" t="s">
        <v>454</v>
      </c>
      <c r="AA92" t="s">
        <v>24</v>
      </c>
      <c r="AB92" t="s">
        <v>391</v>
      </c>
      <c r="AC92" t="s">
        <v>455</v>
      </c>
      <c r="AD92" t="s">
        <v>27</v>
      </c>
      <c r="AE92" t="s">
        <v>456</v>
      </c>
      <c r="AF92" s="2">
        <v>45237</v>
      </c>
      <c r="AG92" t="s">
        <v>29</v>
      </c>
      <c r="AH92" t="s">
        <v>457</v>
      </c>
      <c r="AI92" s="2">
        <v>45238</v>
      </c>
      <c r="AJ92" t="s">
        <v>29</v>
      </c>
    </row>
    <row r="93" spans="1:36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5</v>
      </c>
      <c r="H93" t="s">
        <v>6</v>
      </c>
      <c r="I93" t="s">
        <v>52</v>
      </c>
      <c r="J93" t="s">
        <v>53</v>
      </c>
      <c r="K93" t="s">
        <v>293</v>
      </c>
      <c r="L93" t="s">
        <v>446</v>
      </c>
      <c r="M93" t="s">
        <v>447</v>
      </c>
      <c r="N93" t="s">
        <v>448</v>
      </c>
      <c r="O93" s="2">
        <v>45239</v>
      </c>
      <c r="P93" t="s">
        <v>449</v>
      </c>
      <c r="Q93" t="s">
        <v>14</v>
      </c>
      <c r="R93" t="s">
        <v>450</v>
      </c>
      <c r="S93" t="s">
        <v>451</v>
      </c>
      <c r="T93" t="s">
        <v>452</v>
      </c>
      <c r="U93" t="s">
        <v>453</v>
      </c>
      <c r="V93" t="s">
        <v>98</v>
      </c>
      <c r="W93" t="s">
        <v>388</v>
      </c>
      <c r="X93" t="s">
        <v>21</v>
      </c>
      <c r="Y93" t="s">
        <v>121</v>
      </c>
      <c r="Z93" t="s">
        <v>454</v>
      </c>
      <c r="AA93" t="s">
        <v>24</v>
      </c>
      <c r="AB93" t="s">
        <v>391</v>
      </c>
      <c r="AC93" t="s">
        <v>455</v>
      </c>
      <c r="AD93" t="s">
        <v>27</v>
      </c>
      <c r="AE93" t="s">
        <v>456</v>
      </c>
      <c r="AF93" s="2">
        <v>45237</v>
      </c>
      <c r="AG93" t="s">
        <v>29</v>
      </c>
      <c r="AH93" t="s">
        <v>457</v>
      </c>
      <c r="AI93" s="2">
        <v>45238</v>
      </c>
      <c r="AJ93" t="s">
        <v>29</v>
      </c>
    </row>
    <row r="94" spans="1:36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5</v>
      </c>
      <c r="H94" t="s">
        <v>6</v>
      </c>
      <c r="I94" t="s">
        <v>107</v>
      </c>
      <c r="J94" t="s">
        <v>108</v>
      </c>
      <c r="K94" t="s">
        <v>109</v>
      </c>
      <c r="L94" t="s">
        <v>332</v>
      </c>
      <c r="M94" t="s">
        <v>333</v>
      </c>
      <c r="N94" t="s">
        <v>334</v>
      </c>
      <c r="O94" s="2">
        <v>45239</v>
      </c>
      <c r="P94" t="s">
        <v>458</v>
      </c>
      <c r="Q94" t="s">
        <v>218</v>
      </c>
      <c r="R94" t="s">
        <v>336</v>
      </c>
      <c r="S94" t="s">
        <v>337</v>
      </c>
      <c r="T94" t="s">
        <v>338</v>
      </c>
      <c r="U94" t="s">
        <v>339</v>
      </c>
      <c r="V94" t="s">
        <v>119</v>
      </c>
      <c r="W94" t="s">
        <v>340</v>
      </c>
      <c r="X94" t="s">
        <v>21</v>
      </c>
      <c r="Y94" t="s">
        <v>121</v>
      </c>
      <c r="Z94" t="s">
        <v>341</v>
      </c>
      <c r="AA94" t="s">
        <v>24</v>
      </c>
      <c r="AB94" t="s">
        <v>342</v>
      </c>
      <c r="AC94" t="s">
        <v>439</v>
      </c>
      <c r="AD94" t="s">
        <v>219</v>
      </c>
      <c r="AE94" t="s">
        <v>344</v>
      </c>
      <c r="AF94" s="2">
        <v>45232</v>
      </c>
      <c r="AG94" t="s">
        <v>345</v>
      </c>
      <c r="AH94" t="s">
        <v>346</v>
      </c>
      <c r="AI94" s="2">
        <v>45232</v>
      </c>
      <c r="AJ94" t="s">
        <v>345</v>
      </c>
    </row>
    <row r="95" spans="1:36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5</v>
      </c>
      <c r="H95" t="s">
        <v>6</v>
      </c>
      <c r="I95" t="s">
        <v>75</v>
      </c>
      <c r="J95" t="s">
        <v>76</v>
      </c>
      <c r="K95" t="s">
        <v>77</v>
      </c>
      <c r="L95" t="s">
        <v>78</v>
      </c>
      <c r="M95" t="s">
        <v>79</v>
      </c>
      <c r="N95" t="s">
        <v>80</v>
      </c>
      <c r="O95" s="2">
        <v>45239</v>
      </c>
      <c r="P95" t="s">
        <v>459</v>
      </c>
      <c r="Q95" t="s">
        <v>14</v>
      </c>
      <c r="R95" t="s">
        <v>460</v>
      </c>
      <c r="S95" t="s">
        <v>461</v>
      </c>
      <c r="T95" t="s">
        <v>462</v>
      </c>
      <c r="U95" t="s">
        <v>463</v>
      </c>
      <c r="V95" t="s">
        <v>98</v>
      </c>
      <c r="W95" t="s">
        <v>272</v>
      </c>
      <c r="X95" t="s">
        <v>43</v>
      </c>
      <c r="Y95" t="s">
        <v>198</v>
      </c>
      <c r="Z95" t="s">
        <v>464</v>
      </c>
      <c r="AA95" t="s">
        <v>46</v>
      </c>
      <c r="AB95" t="s">
        <v>465</v>
      </c>
      <c r="AC95" t="s">
        <v>466</v>
      </c>
      <c r="AD95" t="s">
        <v>27</v>
      </c>
      <c r="AE95" t="s">
        <v>467</v>
      </c>
      <c r="AF95" s="2">
        <v>45238</v>
      </c>
      <c r="AG95" t="s">
        <v>29</v>
      </c>
      <c r="AH95" t="s">
        <v>468</v>
      </c>
      <c r="AI95" s="2">
        <v>45239</v>
      </c>
      <c r="AJ95" t="s">
        <v>29</v>
      </c>
    </row>
    <row r="96" spans="1:36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5</v>
      </c>
      <c r="H96" t="s">
        <v>6</v>
      </c>
      <c r="I96" t="s">
        <v>107</v>
      </c>
      <c r="J96" t="s">
        <v>108</v>
      </c>
      <c r="K96" t="s">
        <v>109</v>
      </c>
      <c r="L96" t="s">
        <v>110</v>
      </c>
      <c r="M96" t="s">
        <v>111</v>
      </c>
      <c r="N96" t="s">
        <v>112</v>
      </c>
      <c r="O96" s="2">
        <v>45239</v>
      </c>
      <c r="P96" t="s">
        <v>469</v>
      </c>
      <c r="Q96" t="s">
        <v>218</v>
      </c>
      <c r="R96" t="s">
        <v>336</v>
      </c>
      <c r="S96" t="s">
        <v>337</v>
      </c>
      <c r="T96" t="s">
        <v>338</v>
      </c>
      <c r="U96" t="s">
        <v>339</v>
      </c>
      <c r="V96" t="s">
        <v>119</v>
      </c>
      <c r="W96" t="s">
        <v>340</v>
      </c>
      <c r="X96" t="s">
        <v>21</v>
      </c>
      <c r="Y96" t="s">
        <v>121</v>
      </c>
      <c r="Z96" t="s">
        <v>122</v>
      </c>
      <c r="AA96" t="s">
        <v>24</v>
      </c>
      <c r="AB96" t="s">
        <v>342</v>
      </c>
      <c r="AC96" t="s">
        <v>433</v>
      </c>
      <c r="AD96" t="s">
        <v>219</v>
      </c>
      <c r="AE96" t="s">
        <v>354</v>
      </c>
      <c r="AF96" s="2">
        <v>45232</v>
      </c>
      <c r="AG96" t="s">
        <v>355</v>
      </c>
      <c r="AH96" t="s">
        <v>356</v>
      </c>
      <c r="AI96" s="2">
        <v>45232</v>
      </c>
      <c r="AJ96" t="s">
        <v>355</v>
      </c>
    </row>
    <row r="97" spans="1:36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5</v>
      </c>
      <c r="H97" t="s">
        <v>6</v>
      </c>
      <c r="I97" t="s">
        <v>107</v>
      </c>
      <c r="J97" t="s">
        <v>108</v>
      </c>
      <c r="K97" t="s">
        <v>109</v>
      </c>
      <c r="L97" t="s">
        <v>110</v>
      </c>
      <c r="M97" t="s">
        <v>111</v>
      </c>
      <c r="N97" t="s">
        <v>112</v>
      </c>
      <c r="O97" s="2">
        <v>45239</v>
      </c>
      <c r="P97" t="s">
        <v>470</v>
      </c>
      <c r="Q97" t="s">
        <v>218</v>
      </c>
      <c r="R97" t="s">
        <v>336</v>
      </c>
      <c r="S97" t="s">
        <v>337</v>
      </c>
      <c r="T97" t="s">
        <v>338</v>
      </c>
      <c r="U97" t="s">
        <v>339</v>
      </c>
      <c r="V97" t="s">
        <v>119</v>
      </c>
      <c r="W97" t="s">
        <v>340</v>
      </c>
      <c r="X97" t="s">
        <v>21</v>
      </c>
      <c r="Y97" t="s">
        <v>121</v>
      </c>
      <c r="Z97" t="s">
        <v>122</v>
      </c>
      <c r="AA97" t="s">
        <v>24</v>
      </c>
      <c r="AB97" t="s">
        <v>342</v>
      </c>
      <c r="AC97" t="s">
        <v>445</v>
      </c>
      <c r="AD97" t="s">
        <v>219</v>
      </c>
      <c r="AE97" t="s">
        <v>354</v>
      </c>
      <c r="AF97" s="2">
        <v>45232</v>
      </c>
      <c r="AG97" t="s">
        <v>355</v>
      </c>
      <c r="AH97" t="s">
        <v>356</v>
      </c>
      <c r="AI97" s="2">
        <v>45232</v>
      </c>
      <c r="AJ97" t="s">
        <v>355</v>
      </c>
    </row>
    <row r="98" spans="1:36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5</v>
      </c>
      <c r="H98" t="s">
        <v>6</v>
      </c>
      <c r="I98" t="s">
        <v>107</v>
      </c>
      <c r="J98" t="s">
        <v>108</v>
      </c>
      <c r="K98" t="s">
        <v>109</v>
      </c>
      <c r="L98" t="s">
        <v>110</v>
      </c>
      <c r="M98" t="s">
        <v>111</v>
      </c>
      <c r="N98" t="s">
        <v>112</v>
      </c>
      <c r="O98" s="2">
        <v>45239</v>
      </c>
      <c r="P98" t="s">
        <v>471</v>
      </c>
      <c r="Q98" t="s">
        <v>218</v>
      </c>
      <c r="R98" t="s">
        <v>336</v>
      </c>
      <c r="S98" t="s">
        <v>337</v>
      </c>
      <c r="T98" t="s">
        <v>338</v>
      </c>
      <c r="U98" t="s">
        <v>339</v>
      </c>
      <c r="V98" t="s">
        <v>119</v>
      </c>
      <c r="W98" t="s">
        <v>340</v>
      </c>
      <c r="X98" t="s">
        <v>21</v>
      </c>
      <c r="Y98" t="s">
        <v>121</v>
      </c>
      <c r="Z98" t="s">
        <v>122</v>
      </c>
      <c r="AA98" t="s">
        <v>24</v>
      </c>
      <c r="AB98" t="s">
        <v>342</v>
      </c>
      <c r="AC98" t="s">
        <v>441</v>
      </c>
      <c r="AD98" t="s">
        <v>219</v>
      </c>
      <c r="AE98" t="s">
        <v>354</v>
      </c>
      <c r="AF98" s="2">
        <v>45232</v>
      </c>
      <c r="AG98" t="s">
        <v>355</v>
      </c>
      <c r="AH98" t="s">
        <v>356</v>
      </c>
      <c r="AI98" s="2">
        <v>45232</v>
      </c>
      <c r="AJ98" t="s">
        <v>355</v>
      </c>
    </row>
    <row r="99" spans="1:36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5</v>
      </c>
      <c r="H99" t="s">
        <v>6</v>
      </c>
      <c r="I99" t="s">
        <v>107</v>
      </c>
      <c r="J99" t="s">
        <v>108</v>
      </c>
      <c r="K99" t="s">
        <v>109</v>
      </c>
      <c r="L99" t="s">
        <v>318</v>
      </c>
      <c r="M99" t="s">
        <v>319</v>
      </c>
      <c r="N99" t="s">
        <v>320</v>
      </c>
      <c r="O99" s="2">
        <v>45239</v>
      </c>
      <c r="P99" t="s">
        <v>472</v>
      </c>
      <c r="Q99" t="s">
        <v>218</v>
      </c>
      <c r="R99" t="s">
        <v>336</v>
      </c>
      <c r="S99" t="s">
        <v>337</v>
      </c>
      <c r="T99" t="s">
        <v>338</v>
      </c>
      <c r="U99" t="s">
        <v>339</v>
      </c>
      <c r="V99" t="s">
        <v>119</v>
      </c>
      <c r="W99" t="s">
        <v>396</v>
      </c>
      <c r="X99" t="s">
        <v>21</v>
      </c>
      <c r="Y99" t="s">
        <v>22</v>
      </c>
      <c r="Z99" t="s">
        <v>122</v>
      </c>
      <c r="AA99" t="s">
        <v>24</v>
      </c>
      <c r="AB99" t="s">
        <v>398</v>
      </c>
      <c r="AC99" t="s">
        <v>473</v>
      </c>
      <c r="AD99" t="s">
        <v>219</v>
      </c>
      <c r="AE99" t="s">
        <v>474</v>
      </c>
      <c r="AF99" s="2">
        <v>45232</v>
      </c>
      <c r="AG99" t="s">
        <v>401</v>
      </c>
      <c r="AH99" t="s">
        <v>475</v>
      </c>
      <c r="AI99" s="2">
        <v>45232</v>
      </c>
      <c r="AJ99" t="s">
        <v>401</v>
      </c>
    </row>
    <row r="100" spans="1:36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5</v>
      </c>
      <c r="H100" t="s">
        <v>6</v>
      </c>
      <c r="I100" t="s">
        <v>107</v>
      </c>
      <c r="J100" t="s">
        <v>108</v>
      </c>
      <c r="K100" t="s">
        <v>109</v>
      </c>
      <c r="L100" t="s">
        <v>318</v>
      </c>
      <c r="M100" t="s">
        <v>319</v>
      </c>
      <c r="N100" t="s">
        <v>320</v>
      </c>
      <c r="O100" s="2">
        <v>45239</v>
      </c>
      <c r="P100" t="s">
        <v>476</v>
      </c>
      <c r="Q100" t="s">
        <v>218</v>
      </c>
      <c r="R100" t="s">
        <v>336</v>
      </c>
      <c r="S100" t="s">
        <v>337</v>
      </c>
      <c r="T100" t="s">
        <v>338</v>
      </c>
      <c r="U100" t="s">
        <v>339</v>
      </c>
      <c r="V100" t="s">
        <v>119</v>
      </c>
      <c r="W100" t="s">
        <v>396</v>
      </c>
      <c r="X100" t="s">
        <v>21</v>
      </c>
      <c r="Y100" t="s">
        <v>22</v>
      </c>
      <c r="Z100" t="s">
        <v>122</v>
      </c>
      <c r="AA100" t="s">
        <v>24</v>
      </c>
      <c r="AB100" t="s">
        <v>398</v>
      </c>
      <c r="AC100" t="s">
        <v>399</v>
      </c>
      <c r="AD100" t="s">
        <v>219</v>
      </c>
      <c r="AE100" t="s">
        <v>474</v>
      </c>
      <c r="AF100" s="2">
        <v>45232</v>
      </c>
      <c r="AG100" t="s">
        <v>401</v>
      </c>
      <c r="AH100" t="s">
        <v>475</v>
      </c>
      <c r="AI100" s="2">
        <v>45232</v>
      </c>
      <c r="AJ100" t="s">
        <v>401</v>
      </c>
    </row>
    <row r="101" spans="1:36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5</v>
      </c>
      <c r="H101" t="s">
        <v>6</v>
      </c>
      <c r="I101" t="s">
        <v>107</v>
      </c>
      <c r="J101" t="s">
        <v>108</v>
      </c>
      <c r="K101" t="s">
        <v>109</v>
      </c>
      <c r="L101" t="s">
        <v>318</v>
      </c>
      <c r="M101" t="s">
        <v>319</v>
      </c>
      <c r="N101" t="s">
        <v>320</v>
      </c>
      <c r="O101" s="2">
        <v>45239</v>
      </c>
      <c r="P101" t="s">
        <v>477</v>
      </c>
      <c r="Q101" t="s">
        <v>14</v>
      </c>
      <c r="R101" t="s">
        <v>336</v>
      </c>
      <c r="S101" t="s">
        <v>337</v>
      </c>
      <c r="T101" t="s">
        <v>338</v>
      </c>
      <c r="U101" t="s">
        <v>339</v>
      </c>
      <c r="V101" t="s">
        <v>119</v>
      </c>
      <c r="W101" t="s">
        <v>396</v>
      </c>
      <c r="X101" t="s">
        <v>21</v>
      </c>
      <c r="Y101" t="s">
        <v>22</v>
      </c>
      <c r="Z101" t="s">
        <v>122</v>
      </c>
      <c r="AA101" t="s">
        <v>397</v>
      </c>
      <c r="AB101" t="s">
        <v>398</v>
      </c>
      <c r="AC101" t="s">
        <v>473</v>
      </c>
      <c r="AD101" t="s">
        <v>27</v>
      </c>
      <c r="AE101" t="s">
        <v>400</v>
      </c>
      <c r="AF101" s="2">
        <v>45237</v>
      </c>
      <c r="AG101" t="s">
        <v>401</v>
      </c>
      <c r="AH101" t="s">
        <v>402</v>
      </c>
      <c r="AI101" s="2">
        <v>45237</v>
      </c>
      <c r="AJ101" t="s">
        <v>401</v>
      </c>
    </row>
    <row r="102" spans="1:36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5</v>
      </c>
      <c r="H102" t="s">
        <v>6</v>
      </c>
      <c r="I102" t="s">
        <v>107</v>
      </c>
      <c r="J102" t="s">
        <v>108</v>
      </c>
      <c r="K102" t="s">
        <v>109</v>
      </c>
      <c r="L102" t="s">
        <v>318</v>
      </c>
      <c r="M102" t="s">
        <v>319</v>
      </c>
      <c r="N102" t="s">
        <v>320</v>
      </c>
      <c r="O102" s="2">
        <v>45239</v>
      </c>
      <c r="P102" t="s">
        <v>477</v>
      </c>
      <c r="Q102" t="s">
        <v>114</v>
      </c>
      <c r="R102" t="s">
        <v>336</v>
      </c>
      <c r="S102" t="s">
        <v>337</v>
      </c>
      <c r="T102" t="s">
        <v>338</v>
      </c>
      <c r="U102" t="s">
        <v>339</v>
      </c>
      <c r="V102" t="s">
        <v>119</v>
      </c>
      <c r="W102" t="s">
        <v>396</v>
      </c>
      <c r="X102" t="s">
        <v>21</v>
      </c>
      <c r="Y102" t="s">
        <v>22</v>
      </c>
      <c r="Z102" t="s">
        <v>122</v>
      </c>
      <c r="AA102" t="s">
        <v>397</v>
      </c>
      <c r="AB102" t="s">
        <v>398</v>
      </c>
      <c r="AC102" t="s">
        <v>473</v>
      </c>
      <c r="AD102" t="s">
        <v>27</v>
      </c>
      <c r="AE102" t="s">
        <v>400</v>
      </c>
      <c r="AF102" s="2">
        <v>45237</v>
      </c>
      <c r="AG102" t="s">
        <v>401</v>
      </c>
      <c r="AH102" t="s">
        <v>402</v>
      </c>
      <c r="AI102" s="2">
        <v>45237</v>
      </c>
      <c r="AJ102" t="s">
        <v>401</v>
      </c>
    </row>
    <row r="103" spans="1:36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5</v>
      </c>
      <c r="H103" t="s">
        <v>6</v>
      </c>
      <c r="I103" t="s">
        <v>107</v>
      </c>
      <c r="J103" t="s">
        <v>108</v>
      </c>
      <c r="K103" t="s">
        <v>109</v>
      </c>
      <c r="L103" t="s">
        <v>318</v>
      </c>
      <c r="M103" t="s">
        <v>319</v>
      </c>
      <c r="N103" t="s">
        <v>320</v>
      </c>
      <c r="O103" s="2">
        <v>45239</v>
      </c>
      <c r="P103" t="s">
        <v>395</v>
      </c>
      <c r="Q103" t="s">
        <v>114</v>
      </c>
      <c r="R103" t="s">
        <v>336</v>
      </c>
      <c r="S103" t="s">
        <v>337</v>
      </c>
      <c r="T103" t="s">
        <v>338</v>
      </c>
      <c r="U103" t="s">
        <v>339</v>
      </c>
      <c r="V103" t="s">
        <v>119</v>
      </c>
      <c r="W103" t="s">
        <v>396</v>
      </c>
      <c r="X103" t="s">
        <v>21</v>
      </c>
      <c r="Y103" t="s">
        <v>22</v>
      </c>
      <c r="Z103" t="s">
        <v>122</v>
      </c>
      <c r="AA103" t="s">
        <v>397</v>
      </c>
      <c r="AB103" t="s">
        <v>398</v>
      </c>
      <c r="AC103" t="s">
        <v>399</v>
      </c>
      <c r="AD103" t="s">
        <v>27</v>
      </c>
      <c r="AE103" t="s">
        <v>400</v>
      </c>
      <c r="AF103" s="2">
        <v>45237</v>
      </c>
      <c r="AG103" t="s">
        <v>401</v>
      </c>
      <c r="AH103" t="s">
        <v>402</v>
      </c>
      <c r="AI103" s="2">
        <v>45237</v>
      </c>
      <c r="AJ103" t="s">
        <v>401</v>
      </c>
    </row>
    <row r="104" spans="1:36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5</v>
      </c>
      <c r="H104" t="s">
        <v>6</v>
      </c>
      <c r="I104" t="s">
        <v>107</v>
      </c>
      <c r="J104" t="s">
        <v>108</v>
      </c>
      <c r="K104" t="s">
        <v>109</v>
      </c>
      <c r="L104" t="s">
        <v>318</v>
      </c>
      <c r="M104" t="s">
        <v>319</v>
      </c>
      <c r="N104" t="s">
        <v>320</v>
      </c>
      <c r="O104" s="2">
        <v>45239</v>
      </c>
      <c r="P104" t="s">
        <v>478</v>
      </c>
      <c r="Q104" t="s">
        <v>114</v>
      </c>
      <c r="R104" t="s">
        <v>336</v>
      </c>
      <c r="S104" t="s">
        <v>337</v>
      </c>
      <c r="T104" t="s">
        <v>338</v>
      </c>
      <c r="U104" t="s">
        <v>339</v>
      </c>
      <c r="V104" t="s">
        <v>119</v>
      </c>
      <c r="W104" t="s">
        <v>396</v>
      </c>
      <c r="X104" t="s">
        <v>21</v>
      </c>
      <c r="Y104" t="s">
        <v>22</v>
      </c>
      <c r="Z104" t="s">
        <v>122</v>
      </c>
      <c r="AA104" t="s">
        <v>397</v>
      </c>
      <c r="AB104" t="s">
        <v>398</v>
      </c>
      <c r="AC104" t="s">
        <v>479</v>
      </c>
      <c r="AD104" t="s">
        <v>27</v>
      </c>
      <c r="AE104" t="s">
        <v>400</v>
      </c>
      <c r="AF104" s="2">
        <v>45237</v>
      </c>
      <c r="AG104" t="s">
        <v>401</v>
      </c>
      <c r="AH104" t="s">
        <v>402</v>
      </c>
      <c r="AI104" s="2">
        <v>45237</v>
      </c>
      <c r="AJ104" t="s">
        <v>401</v>
      </c>
    </row>
    <row r="105" spans="1:36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5</v>
      </c>
      <c r="H105" t="s">
        <v>6</v>
      </c>
      <c r="I105" t="s">
        <v>107</v>
      </c>
      <c r="J105" t="s">
        <v>108</v>
      </c>
      <c r="K105" t="s">
        <v>109</v>
      </c>
      <c r="L105" t="s">
        <v>318</v>
      </c>
      <c r="M105" t="s">
        <v>319</v>
      </c>
      <c r="N105" t="s">
        <v>320</v>
      </c>
      <c r="O105" s="2">
        <v>45239</v>
      </c>
      <c r="P105" t="s">
        <v>478</v>
      </c>
      <c r="Q105" t="s">
        <v>14</v>
      </c>
      <c r="R105" t="s">
        <v>336</v>
      </c>
      <c r="S105" t="s">
        <v>337</v>
      </c>
      <c r="T105" t="s">
        <v>338</v>
      </c>
      <c r="U105" t="s">
        <v>339</v>
      </c>
      <c r="V105" t="s">
        <v>119</v>
      </c>
      <c r="W105" t="s">
        <v>396</v>
      </c>
      <c r="X105" t="s">
        <v>21</v>
      </c>
      <c r="Y105" t="s">
        <v>22</v>
      </c>
      <c r="Z105" t="s">
        <v>122</v>
      </c>
      <c r="AA105" t="s">
        <v>397</v>
      </c>
      <c r="AB105" t="s">
        <v>398</v>
      </c>
      <c r="AC105" t="s">
        <v>479</v>
      </c>
      <c r="AD105" t="s">
        <v>27</v>
      </c>
      <c r="AE105" t="s">
        <v>400</v>
      </c>
      <c r="AF105" s="2">
        <v>45237</v>
      </c>
      <c r="AG105" t="s">
        <v>401</v>
      </c>
      <c r="AH105" t="s">
        <v>402</v>
      </c>
      <c r="AI105" s="2">
        <v>45237</v>
      </c>
      <c r="AJ105" t="s">
        <v>401</v>
      </c>
    </row>
    <row r="106" spans="1:36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5</v>
      </c>
      <c r="H106" t="s">
        <v>6</v>
      </c>
      <c r="I106" t="s">
        <v>52</v>
      </c>
      <c r="J106" t="s">
        <v>53</v>
      </c>
      <c r="K106" t="s">
        <v>293</v>
      </c>
      <c r="L106" t="s">
        <v>380</v>
      </c>
      <c r="M106" t="s">
        <v>381</v>
      </c>
      <c r="N106" t="s">
        <v>382</v>
      </c>
      <c r="O106" s="2">
        <v>45239</v>
      </c>
      <c r="P106" t="s">
        <v>480</v>
      </c>
      <c r="Q106" t="s">
        <v>14</v>
      </c>
      <c r="R106" t="s">
        <v>481</v>
      </c>
      <c r="S106" t="s">
        <v>482</v>
      </c>
      <c r="T106" t="s">
        <v>483</v>
      </c>
      <c r="U106" t="s">
        <v>484</v>
      </c>
      <c r="V106" t="s">
        <v>98</v>
      </c>
      <c r="W106" t="s">
        <v>388</v>
      </c>
      <c r="X106" t="s">
        <v>21</v>
      </c>
      <c r="Y106" t="s">
        <v>121</v>
      </c>
      <c r="Z106" t="s">
        <v>389</v>
      </c>
      <c r="AA106" t="s">
        <v>390</v>
      </c>
      <c r="AB106" t="s">
        <v>391</v>
      </c>
      <c r="AC106" t="s">
        <v>485</v>
      </c>
      <c r="AD106" t="s">
        <v>27</v>
      </c>
      <c r="AE106" t="s">
        <v>486</v>
      </c>
      <c r="AF106" s="2">
        <v>45231</v>
      </c>
      <c r="AG106" t="s">
        <v>29</v>
      </c>
      <c r="AH106" t="s">
        <v>487</v>
      </c>
      <c r="AI106" s="2">
        <v>45238</v>
      </c>
      <c r="AJ106" t="s">
        <v>29</v>
      </c>
    </row>
    <row r="107" spans="1:36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5</v>
      </c>
      <c r="H107" t="s">
        <v>6</v>
      </c>
      <c r="I107" t="s">
        <v>52</v>
      </c>
      <c r="J107" t="s">
        <v>53</v>
      </c>
      <c r="K107" t="s">
        <v>293</v>
      </c>
      <c r="L107" t="s">
        <v>380</v>
      </c>
      <c r="M107" t="s">
        <v>381</v>
      </c>
      <c r="N107" t="s">
        <v>382</v>
      </c>
      <c r="O107" s="2">
        <v>45239</v>
      </c>
      <c r="P107" t="s">
        <v>480</v>
      </c>
      <c r="Q107" t="s">
        <v>114</v>
      </c>
      <c r="R107" t="s">
        <v>481</v>
      </c>
      <c r="S107" t="s">
        <v>482</v>
      </c>
      <c r="T107" t="s">
        <v>483</v>
      </c>
      <c r="U107" t="s">
        <v>484</v>
      </c>
      <c r="V107" t="s">
        <v>98</v>
      </c>
      <c r="W107" t="s">
        <v>388</v>
      </c>
      <c r="X107" t="s">
        <v>21</v>
      </c>
      <c r="Y107" t="s">
        <v>121</v>
      </c>
      <c r="Z107" t="s">
        <v>389</v>
      </c>
      <c r="AA107" t="s">
        <v>390</v>
      </c>
      <c r="AB107" t="s">
        <v>391</v>
      </c>
      <c r="AC107" t="s">
        <v>485</v>
      </c>
      <c r="AD107" t="s">
        <v>27</v>
      </c>
      <c r="AE107" t="s">
        <v>486</v>
      </c>
      <c r="AF107" s="2">
        <v>45231</v>
      </c>
      <c r="AG107" t="s">
        <v>29</v>
      </c>
      <c r="AH107" t="s">
        <v>487</v>
      </c>
      <c r="AI107" s="2">
        <v>45238</v>
      </c>
      <c r="AJ107" t="s">
        <v>29</v>
      </c>
    </row>
    <row r="108" spans="1:36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5</v>
      </c>
      <c r="H108" t="s">
        <v>6</v>
      </c>
      <c r="I108" t="s">
        <v>107</v>
      </c>
      <c r="J108" t="s">
        <v>108</v>
      </c>
      <c r="K108" t="s">
        <v>109</v>
      </c>
      <c r="L108" t="s">
        <v>318</v>
      </c>
      <c r="M108" t="s">
        <v>319</v>
      </c>
      <c r="N108" t="s">
        <v>320</v>
      </c>
      <c r="O108" s="2">
        <v>45239</v>
      </c>
      <c r="P108" t="s">
        <v>488</v>
      </c>
      <c r="Q108" t="s">
        <v>218</v>
      </c>
      <c r="R108" t="s">
        <v>336</v>
      </c>
      <c r="S108" t="s">
        <v>337</v>
      </c>
      <c r="T108" t="s">
        <v>338</v>
      </c>
      <c r="U108" t="s">
        <v>339</v>
      </c>
      <c r="V108" t="s">
        <v>119</v>
      </c>
      <c r="W108" t="s">
        <v>396</v>
      </c>
      <c r="X108" t="s">
        <v>21</v>
      </c>
      <c r="Y108" t="s">
        <v>22</v>
      </c>
      <c r="Z108" t="s">
        <v>122</v>
      </c>
      <c r="AA108" t="s">
        <v>24</v>
      </c>
      <c r="AB108" t="s">
        <v>398</v>
      </c>
      <c r="AC108" t="s">
        <v>479</v>
      </c>
      <c r="AD108" t="s">
        <v>219</v>
      </c>
      <c r="AE108" t="s">
        <v>474</v>
      </c>
      <c r="AF108" s="2">
        <v>45232</v>
      </c>
      <c r="AG108" t="s">
        <v>401</v>
      </c>
      <c r="AH108" t="s">
        <v>475</v>
      </c>
      <c r="AI108" s="2">
        <v>45232</v>
      </c>
      <c r="AJ108" t="s">
        <v>401</v>
      </c>
    </row>
    <row r="109" spans="1:36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5</v>
      </c>
      <c r="H109" t="s">
        <v>6</v>
      </c>
      <c r="I109" t="s">
        <v>107</v>
      </c>
      <c r="J109" t="s">
        <v>108</v>
      </c>
      <c r="K109" t="s">
        <v>109</v>
      </c>
      <c r="L109" t="s">
        <v>332</v>
      </c>
      <c r="M109" t="s">
        <v>333</v>
      </c>
      <c r="N109" t="s">
        <v>334</v>
      </c>
      <c r="O109" s="2">
        <v>45239</v>
      </c>
      <c r="P109" t="s">
        <v>489</v>
      </c>
      <c r="Q109" t="s">
        <v>218</v>
      </c>
      <c r="R109" t="s">
        <v>336</v>
      </c>
      <c r="S109" t="s">
        <v>337</v>
      </c>
      <c r="T109" t="s">
        <v>338</v>
      </c>
      <c r="U109" t="s">
        <v>339</v>
      </c>
      <c r="V109" t="s">
        <v>119</v>
      </c>
      <c r="W109" t="s">
        <v>340</v>
      </c>
      <c r="X109" t="s">
        <v>21</v>
      </c>
      <c r="Y109" t="s">
        <v>121</v>
      </c>
      <c r="Z109" t="s">
        <v>341</v>
      </c>
      <c r="AA109" t="s">
        <v>24</v>
      </c>
      <c r="AB109" t="s">
        <v>342</v>
      </c>
      <c r="AC109" t="s">
        <v>437</v>
      </c>
      <c r="AD109" t="s">
        <v>219</v>
      </c>
      <c r="AE109" t="s">
        <v>344</v>
      </c>
      <c r="AF109" s="2">
        <v>45232</v>
      </c>
      <c r="AG109" t="s">
        <v>345</v>
      </c>
      <c r="AH109" t="s">
        <v>346</v>
      </c>
      <c r="AI109" s="2">
        <v>45232</v>
      </c>
      <c r="AJ109" t="s">
        <v>345</v>
      </c>
    </row>
    <row r="110" spans="1:36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5</v>
      </c>
      <c r="H110" t="s">
        <v>6</v>
      </c>
      <c r="I110" t="s">
        <v>107</v>
      </c>
      <c r="J110" t="s">
        <v>108</v>
      </c>
      <c r="K110" t="s">
        <v>109</v>
      </c>
      <c r="L110" t="s">
        <v>332</v>
      </c>
      <c r="M110" t="s">
        <v>333</v>
      </c>
      <c r="N110" t="s">
        <v>334</v>
      </c>
      <c r="O110" s="2">
        <v>45239</v>
      </c>
      <c r="P110" t="s">
        <v>490</v>
      </c>
      <c r="Q110" t="s">
        <v>218</v>
      </c>
      <c r="R110" t="s">
        <v>336</v>
      </c>
      <c r="S110" t="s">
        <v>337</v>
      </c>
      <c r="T110" t="s">
        <v>338</v>
      </c>
      <c r="U110" t="s">
        <v>339</v>
      </c>
      <c r="V110" t="s">
        <v>119</v>
      </c>
      <c r="W110" t="s">
        <v>340</v>
      </c>
      <c r="X110" t="s">
        <v>21</v>
      </c>
      <c r="Y110" t="s">
        <v>121</v>
      </c>
      <c r="Z110" t="s">
        <v>341</v>
      </c>
      <c r="AA110" t="s">
        <v>24</v>
      </c>
      <c r="AB110" t="s">
        <v>342</v>
      </c>
      <c r="AC110" t="s">
        <v>443</v>
      </c>
      <c r="AD110" t="s">
        <v>219</v>
      </c>
      <c r="AE110" t="s">
        <v>344</v>
      </c>
      <c r="AF110" s="2">
        <v>45232</v>
      </c>
      <c r="AG110" t="s">
        <v>345</v>
      </c>
      <c r="AH110" t="s">
        <v>346</v>
      </c>
      <c r="AI110" s="2">
        <v>45232</v>
      </c>
      <c r="AJ110" t="s">
        <v>345</v>
      </c>
    </row>
    <row r="111" spans="1:36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5</v>
      </c>
      <c r="H111" t="s">
        <v>6</v>
      </c>
      <c r="I111" t="s">
        <v>75</v>
      </c>
      <c r="J111" t="s">
        <v>76</v>
      </c>
      <c r="K111" t="s">
        <v>77</v>
      </c>
      <c r="L111" t="s">
        <v>78</v>
      </c>
      <c r="M111" t="s">
        <v>79</v>
      </c>
      <c r="N111" t="s">
        <v>80</v>
      </c>
      <c r="O111" s="2">
        <v>45239</v>
      </c>
      <c r="P111" t="s">
        <v>459</v>
      </c>
      <c r="Q111" t="s">
        <v>114</v>
      </c>
      <c r="R111" t="s">
        <v>460</v>
      </c>
      <c r="S111" t="s">
        <v>461</v>
      </c>
      <c r="T111" t="s">
        <v>462</v>
      </c>
      <c r="U111" t="s">
        <v>463</v>
      </c>
      <c r="V111" t="s">
        <v>98</v>
      </c>
      <c r="W111" t="s">
        <v>272</v>
      </c>
      <c r="X111" t="s">
        <v>43</v>
      </c>
      <c r="Y111" t="s">
        <v>198</v>
      </c>
      <c r="Z111" t="s">
        <v>464</v>
      </c>
      <c r="AA111" t="s">
        <v>46</v>
      </c>
      <c r="AB111" t="s">
        <v>465</v>
      </c>
      <c r="AC111" t="s">
        <v>466</v>
      </c>
      <c r="AD111" t="s">
        <v>27</v>
      </c>
      <c r="AE111" t="s">
        <v>467</v>
      </c>
      <c r="AF111" s="2">
        <v>45238</v>
      </c>
      <c r="AG111" t="s">
        <v>29</v>
      </c>
      <c r="AH111" t="s">
        <v>468</v>
      </c>
      <c r="AI111" s="2">
        <v>45239</v>
      </c>
      <c r="AJ111" t="s">
        <v>29</v>
      </c>
    </row>
    <row r="112" spans="1:36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5</v>
      </c>
      <c r="H112" t="s">
        <v>6</v>
      </c>
      <c r="I112" t="s">
        <v>52</v>
      </c>
      <c r="J112" t="s">
        <v>53</v>
      </c>
      <c r="K112" t="s">
        <v>293</v>
      </c>
      <c r="L112" t="s">
        <v>380</v>
      </c>
      <c r="M112" t="s">
        <v>381</v>
      </c>
      <c r="N112" t="s">
        <v>382</v>
      </c>
      <c r="O112" s="2">
        <v>45240</v>
      </c>
      <c r="P112" t="s">
        <v>491</v>
      </c>
      <c r="Q112" t="s">
        <v>114</v>
      </c>
      <c r="R112" t="s">
        <v>492</v>
      </c>
      <c r="S112" t="s">
        <v>493</v>
      </c>
      <c r="T112" t="s">
        <v>494</v>
      </c>
      <c r="U112" t="s">
        <v>495</v>
      </c>
      <c r="V112" t="s">
        <v>98</v>
      </c>
      <c r="W112" t="s">
        <v>20</v>
      </c>
      <c r="X112" t="s">
        <v>21</v>
      </c>
      <c r="Y112" t="s">
        <v>22</v>
      </c>
      <c r="Z112" t="s">
        <v>64</v>
      </c>
      <c r="AA112" t="s">
        <v>496</v>
      </c>
      <c r="AB112" t="s">
        <v>25</v>
      </c>
      <c r="AC112" t="s">
        <v>497</v>
      </c>
      <c r="AD112" t="s">
        <v>27</v>
      </c>
      <c r="AE112" t="s">
        <v>498</v>
      </c>
      <c r="AF112" s="2">
        <v>45239</v>
      </c>
      <c r="AG112" t="s">
        <v>29</v>
      </c>
      <c r="AH112" t="s">
        <v>499</v>
      </c>
      <c r="AI112" s="2">
        <v>45240</v>
      </c>
      <c r="AJ112" t="s">
        <v>29</v>
      </c>
    </row>
    <row r="113" spans="1:36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5</v>
      </c>
      <c r="H113" t="s">
        <v>6</v>
      </c>
      <c r="I113" t="s">
        <v>261</v>
      </c>
      <c r="J113" t="s">
        <v>262</v>
      </c>
      <c r="K113" t="s">
        <v>263</v>
      </c>
      <c r="L113" t="s">
        <v>264</v>
      </c>
      <c r="M113" t="s">
        <v>265</v>
      </c>
      <c r="N113" t="s">
        <v>266</v>
      </c>
      <c r="O113" s="2">
        <v>45240</v>
      </c>
      <c r="P113" t="s">
        <v>500</v>
      </c>
      <c r="Q113" t="s">
        <v>114</v>
      </c>
      <c r="R113" t="s">
        <v>501</v>
      </c>
      <c r="S113" t="s">
        <v>502</v>
      </c>
      <c r="T113" t="s">
        <v>503</v>
      </c>
      <c r="U113" t="s">
        <v>504</v>
      </c>
      <c r="V113" t="s">
        <v>119</v>
      </c>
      <c r="W113" t="s">
        <v>272</v>
      </c>
      <c r="X113" t="s">
        <v>43</v>
      </c>
      <c r="Y113" t="s">
        <v>198</v>
      </c>
      <c r="Z113" t="s">
        <v>246</v>
      </c>
      <c r="AA113" t="s">
        <v>46</v>
      </c>
      <c r="AB113" t="s">
        <v>465</v>
      </c>
      <c r="AC113" t="s">
        <v>505</v>
      </c>
      <c r="AD113" t="s">
        <v>27</v>
      </c>
      <c r="AE113" t="s">
        <v>506</v>
      </c>
      <c r="AF113" s="2">
        <v>45240</v>
      </c>
      <c r="AG113" t="s">
        <v>51</v>
      </c>
      <c r="AH113" t="s">
        <v>507</v>
      </c>
      <c r="AI113" s="2">
        <v>45240</v>
      </c>
      <c r="AJ113" t="s">
        <v>29</v>
      </c>
    </row>
    <row r="114" spans="1:36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5</v>
      </c>
      <c r="H114" t="s">
        <v>6</v>
      </c>
      <c r="I114" t="s">
        <v>52</v>
      </c>
      <c r="J114" t="s">
        <v>53</v>
      </c>
      <c r="K114" t="s">
        <v>293</v>
      </c>
      <c r="L114" t="s">
        <v>380</v>
      </c>
      <c r="M114" t="s">
        <v>381</v>
      </c>
      <c r="N114" t="s">
        <v>382</v>
      </c>
      <c r="O114" s="2">
        <v>45240</v>
      </c>
      <c r="P114" t="s">
        <v>491</v>
      </c>
      <c r="Q114" t="s">
        <v>14</v>
      </c>
      <c r="R114" t="s">
        <v>492</v>
      </c>
      <c r="S114" t="s">
        <v>493</v>
      </c>
      <c r="T114" t="s">
        <v>494</v>
      </c>
      <c r="U114" t="s">
        <v>495</v>
      </c>
      <c r="V114" t="s">
        <v>98</v>
      </c>
      <c r="W114" t="s">
        <v>20</v>
      </c>
      <c r="X114" t="s">
        <v>21</v>
      </c>
      <c r="Y114" t="s">
        <v>22</v>
      </c>
      <c r="Z114" t="s">
        <v>64</v>
      </c>
      <c r="AA114" t="s">
        <v>496</v>
      </c>
      <c r="AB114" t="s">
        <v>25</v>
      </c>
      <c r="AC114" t="s">
        <v>497</v>
      </c>
      <c r="AD114" t="s">
        <v>27</v>
      </c>
      <c r="AE114" t="s">
        <v>498</v>
      </c>
      <c r="AF114" s="2">
        <v>45239</v>
      </c>
      <c r="AG114" t="s">
        <v>29</v>
      </c>
      <c r="AH114" t="s">
        <v>499</v>
      </c>
      <c r="AI114" s="2">
        <v>45240</v>
      </c>
      <c r="AJ114" t="s">
        <v>29</v>
      </c>
    </row>
    <row r="115" spans="1:36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5</v>
      </c>
      <c r="H115" t="s">
        <v>6</v>
      </c>
      <c r="I115" t="s">
        <v>261</v>
      </c>
      <c r="J115" t="s">
        <v>262</v>
      </c>
      <c r="K115" t="s">
        <v>263</v>
      </c>
      <c r="L115" t="s">
        <v>264</v>
      </c>
      <c r="M115" t="s">
        <v>265</v>
      </c>
      <c r="N115" t="s">
        <v>266</v>
      </c>
      <c r="O115" s="2">
        <v>45240</v>
      </c>
      <c r="P115" t="s">
        <v>508</v>
      </c>
      <c r="Q115" t="s">
        <v>114</v>
      </c>
      <c r="R115" t="s">
        <v>501</v>
      </c>
      <c r="S115" t="s">
        <v>502</v>
      </c>
      <c r="T115" t="s">
        <v>503</v>
      </c>
      <c r="U115" t="s">
        <v>504</v>
      </c>
      <c r="V115" t="s">
        <v>119</v>
      </c>
      <c r="W115" t="s">
        <v>272</v>
      </c>
      <c r="X115" t="s">
        <v>43</v>
      </c>
      <c r="Y115" t="s">
        <v>198</v>
      </c>
      <c r="Z115" t="s">
        <v>246</v>
      </c>
      <c r="AA115" t="s">
        <v>46</v>
      </c>
      <c r="AB115" t="s">
        <v>465</v>
      </c>
      <c r="AC115" t="s">
        <v>509</v>
      </c>
      <c r="AD115" t="s">
        <v>27</v>
      </c>
      <c r="AE115" t="s">
        <v>506</v>
      </c>
      <c r="AF115" s="2">
        <v>45240</v>
      </c>
      <c r="AG115" t="s">
        <v>51</v>
      </c>
      <c r="AH115" t="s">
        <v>510</v>
      </c>
      <c r="AI115" s="2">
        <v>45240</v>
      </c>
      <c r="AJ115" t="s">
        <v>29</v>
      </c>
    </row>
    <row r="116" spans="1:36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5</v>
      </c>
      <c r="H116" t="s">
        <v>6</v>
      </c>
      <c r="I116" t="s">
        <v>261</v>
      </c>
      <c r="J116" t="s">
        <v>262</v>
      </c>
      <c r="K116" t="s">
        <v>263</v>
      </c>
      <c r="L116" t="s">
        <v>264</v>
      </c>
      <c r="M116" t="s">
        <v>265</v>
      </c>
      <c r="N116" t="s">
        <v>266</v>
      </c>
      <c r="O116" s="2">
        <v>45240</v>
      </c>
      <c r="P116" t="s">
        <v>508</v>
      </c>
      <c r="Q116" t="s">
        <v>14</v>
      </c>
      <c r="R116" t="s">
        <v>501</v>
      </c>
      <c r="S116" t="s">
        <v>502</v>
      </c>
      <c r="T116" t="s">
        <v>503</v>
      </c>
      <c r="U116" t="s">
        <v>504</v>
      </c>
      <c r="V116" t="s">
        <v>119</v>
      </c>
      <c r="W116" t="s">
        <v>272</v>
      </c>
      <c r="X116" t="s">
        <v>43</v>
      </c>
      <c r="Y116" t="s">
        <v>198</v>
      </c>
      <c r="Z116" t="s">
        <v>246</v>
      </c>
      <c r="AA116" t="s">
        <v>46</v>
      </c>
      <c r="AB116" t="s">
        <v>465</v>
      </c>
      <c r="AC116" t="s">
        <v>509</v>
      </c>
      <c r="AD116" t="s">
        <v>27</v>
      </c>
      <c r="AE116" t="s">
        <v>506</v>
      </c>
      <c r="AF116" s="2">
        <v>45240</v>
      </c>
      <c r="AG116" t="s">
        <v>51</v>
      </c>
      <c r="AH116" t="s">
        <v>510</v>
      </c>
      <c r="AI116" s="2">
        <v>45240</v>
      </c>
      <c r="AJ116" t="s">
        <v>29</v>
      </c>
    </row>
    <row r="117" spans="1:36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5</v>
      </c>
      <c r="H117" t="s">
        <v>6</v>
      </c>
      <c r="I117" t="s">
        <v>261</v>
      </c>
      <c r="J117" t="s">
        <v>262</v>
      </c>
      <c r="K117" t="s">
        <v>263</v>
      </c>
      <c r="L117" t="s">
        <v>264</v>
      </c>
      <c r="M117" t="s">
        <v>265</v>
      </c>
      <c r="N117" t="s">
        <v>266</v>
      </c>
      <c r="O117" s="2">
        <v>45240</v>
      </c>
      <c r="P117" t="s">
        <v>500</v>
      </c>
      <c r="Q117" t="s">
        <v>14</v>
      </c>
      <c r="R117" t="s">
        <v>501</v>
      </c>
      <c r="S117" t="s">
        <v>502</v>
      </c>
      <c r="T117" t="s">
        <v>503</v>
      </c>
      <c r="U117" t="s">
        <v>504</v>
      </c>
      <c r="V117" t="s">
        <v>119</v>
      </c>
      <c r="W117" t="s">
        <v>272</v>
      </c>
      <c r="X117" t="s">
        <v>43</v>
      </c>
      <c r="Y117" t="s">
        <v>198</v>
      </c>
      <c r="Z117" t="s">
        <v>246</v>
      </c>
      <c r="AA117" t="s">
        <v>46</v>
      </c>
      <c r="AB117" t="s">
        <v>465</v>
      </c>
      <c r="AC117" t="s">
        <v>505</v>
      </c>
      <c r="AD117" t="s">
        <v>27</v>
      </c>
      <c r="AE117" t="s">
        <v>506</v>
      </c>
      <c r="AF117" s="2">
        <v>45240</v>
      </c>
      <c r="AG117" t="s">
        <v>51</v>
      </c>
      <c r="AH117" t="s">
        <v>507</v>
      </c>
      <c r="AI117" s="2">
        <v>45240</v>
      </c>
      <c r="AJ117" t="s">
        <v>29</v>
      </c>
    </row>
    <row r="118" spans="1:36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5</v>
      </c>
      <c r="H118" t="s">
        <v>6</v>
      </c>
      <c r="I118" t="s">
        <v>7</v>
      </c>
      <c r="J118" t="s">
        <v>8</v>
      </c>
      <c r="K118" t="s">
        <v>148</v>
      </c>
      <c r="L118" t="s">
        <v>149</v>
      </c>
      <c r="M118" t="s">
        <v>150</v>
      </c>
      <c r="N118" t="s">
        <v>151</v>
      </c>
      <c r="O118" s="2">
        <v>45240</v>
      </c>
      <c r="P118" t="s">
        <v>511</v>
      </c>
      <c r="Q118" t="s">
        <v>114</v>
      </c>
      <c r="R118" t="s">
        <v>512</v>
      </c>
      <c r="S118" t="s">
        <v>513</v>
      </c>
      <c r="T118" t="s">
        <v>514</v>
      </c>
      <c r="U118" t="s">
        <v>515</v>
      </c>
      <c r="V118" t="s">
        <v>98</v>
      </c>
      <c r="W118" t="s">
        <v>516</v>
      </c>
      <c r="X118" t="s">
        <v>100</v>
      </c>
      <c r="Y118" t="s">
        <v>101</v>
      </c>
      <c r="Z118" t="s">
        <v>228</v>
      </c>
      <c r="AA118" t="s">
        <v>24</v>
      </c>
      <c r="AB118" t="s">
        <v>517</v>
      </c>
      <c r="AC118" t="s">
        <v>518</v>
      </c>
      <c r="AD118" t="s">
        <v>27</v>
      </c>
      <c r="AE118" t="s">
        <v>519</v>
      </c>
      <c r="AF118" s="2">
        <v>45234</v>
      </c>
      <c r="AG118" t="s">
        <v>51</v>
      </c>
      <c r="AH118" t="s">
        <v>520</v>
      </c>
      <c r="AI118" s="2">
        <v>45239</v>
      </c>
      <c r="AJ118" t="s">
        <v>51</v>
      </c>
    </row>
    <row r="119" spans="1:36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5</v>
      </c>
      <c r="H119" t="s">
        <v>6</v>
      </c>
      <c r="I119" t="s">
        <v>7</v>
      </c>
      <c r="J119" t="s">
        <v>8</v>
      </c>
      <c r="K119" t="s">
        <v>148</v>
      </c>
      <c r="L119" t="s">
        <v>149</v>
      </c>
      <c r="M119" t="s">
        <v>150</v>
      </c>
      <c r="N119" t="s">
        <v>151</v>
      </c>
      <c r="O119" s="2">
        <v>45240</v>
      </c>
      <c r="P119" t="s">
        <v>511</v>
      </c>
      <c r="Q119" t="s">
        <v>14</v>
      </c>
      <c r="R119" t="s">
        <v>512</v>
      </c>
      <c r="S119" t="s">
        <v>513</v>
      </c>
      <c r="T119" t="s">
        <v>514</v>
      </c>
      <c r="U119" t="s">
        <v>515</v>
      </c>
      <c r="V119" t="s">
        <v>98</v>
      </c>
      <c r="W119" t="s">
        <v>516</v>
      </c>
      <c r="X119" t="s">
        <v>100</v>
      </c>
      <c r="Y119" t="s">
        <v>101</v>
      </c>
      <c r="Z119" t="s">
        <v>228</v>
      </c>
      <c r="AA119" t="s">
        <v>24</v>
      </c>
      <c r="AB119" t="s">
        <v>517</v>
      </c>
      <c r="AC119" t="s">
        <v>518</v>
      </c>
      <c r="AD119" t="s">
        <v>27</v>
      </c>
      <c r="AE119" t="s">
        <v>519</v>
      </c>
      <c r="AF119" s="2">
        <v>45234</v>
      </c>
      <c r="AG119" t="s">
        <v>51</v>
      </c>
      <c r="AH119" t="s">
        <v>520</v>
      </c>
      <c r="AI119" s="2">
        <v>45239</v>
      </c>
      <c r="AJ119" t="s">
        <v>51</v>
      </c>
    </row>
    <row r="120" spans="1:36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5</v>
      </c>
      <c r="H120" t="s">
        <v>6</v>
      </c>
      <c r="I120" t="s">
        <v>7</v>
      </c>
      <c r="J120" t="s">
        <v>8</v>
      </c>
      <c r="K120" t="s">
        <v>148</v>
      </c>
      <c r="L120" t="s">
        <v>149</v>
      </c>
      <c r="M120" t="s">
        <v>150</v>
      </c>
      <c r="N120" t="s">
        <v>151</v>
      </c>
      <c r="O120" s="2">
        <v>45240</v>
      </c>
      <c r="P120" t="s">
        <v>521</v>
      </c>
      <c r="Q120" t="s">
        <v>14</v>
      </c>
      <c r="R120" t="s">
        <v>512</v>
      </c>
      <c r="S120" t="s">
        <v>513</v>
      </c>
      <c r="T120" t="s">
        <v>514</v>
      </c>
      <c r="U120" t="s">
        <v>515</v>
      </c>
      <c r="V120" t="s">
        <v>98</v>
      </c>
      <c r="W120" t="s">
        <v>516</v>
      </c>
      <c r="X120" t="s">
        <v>100</v>
      </c>
      <c r="Y120" t="s">
        <v>101</v>
      </c>
      <c r="Z120" t="s">
        <v>228</v>
      </c>
      <c r="AA120" t="s">
        <v>24</v>
      </c>
      <c r="AB120" t="s">
        <v>517</v>
      </c>
      <c r="AC120" t="s">
        <v>522</v>
      </c>
      <c r="AD120" t="s">
        <v>27</v>
      </c>
      <c r="AE120" t="s">
        <v>519</v>
      </c>
      <c r="AF120" s="2">
        <v>45234</v>
      </c>
      <c r="AG120" t="s">
        <v>51</v>
      </c>
      <c r="AH120" t="s">
        <v>520</v>
      </c>
      <c r="AI120" s="2">
        <v>45239</v>
      </c>
      <c r="AJ120" t="s">
        <v>51</v>
      </c>
    </row>
    <row r="121" spans="1:36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5</v>
      </c>
      <c r="H121" t="s">
        <v>6</v>
      </c>
      <c r="I121" t="s">
        <v>7</v>
      </c>
      <c r="J121" t="s">
        <v>8</v>
      </c>
      <c r="K121" t="s">
        <v>148</v>
      </c>
      <c r="L121" t="s">
        <v>149</v>
      </c>
      <c r="M121" t="s">
        <v>150</v>
      </c>
      <c r="N121" t="s">
        <v>151</v>
      </c>
      <c r="O121" s="2">
        <v>45240</v>
      </c>
      <c r="P121" t="s">
        <v>521</v>
      </c>
      <c r="Q121" t="s">
        <v>114</v>
      </c>
      <c r="R121" t="s">
        <v>512</v>
      </c>
      <c r="S121" t="s">
        <v>513</v>
      </c>
      <c r="T121" t="s">
        <v>514</v>
      </c>
      <c r="U121" t="s">
        <v>515</v>
      </c>
      <c r="V121" t="s">
        <v>98</v>
      </c>
      <c r="W121" t="s">
        <v>516</v>
      </c>
      <c r="X121" t="s">
        <v>100</v>
      </c>
      <c r="Y121" t="s">
        <v>101</v>
      </c>
      <c r="Z121" t="s">
        <v>228</v>
      </c>
      <c r="AA121" t="s">
        <v>24</v>
      </c>
      <c r="AB121" t="s">
        <v>517</v>
      </c>
      <c r="AC121" t="s">
        <v>522</v>
      </c>
      <c r="AD121" t="s">
        <v>27</v>
      </c>
      <c r="AE121" t="s">
        <v>519</v>
      </c>
      <c r="AF121" s="2">
        <v>45234</v>
      </c>
      <c r="AG121" t="s">
        <v>51</v>
      </c>
      <c r="AH121" t="s">
        <v>520</v>
      </c>
      <c r="AI121" s="2">
        <v>45239</v>
      </c>
      <c r="AJ121" t="s">
        <v>51</v>
      </c>
    </row>
    <row r="122" spans="1:36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5</v>
      </c>
      <c r="H122" t="s">
        <v>6</v>
      </c>
      <c r="I122" t="s">
        <v>107</v>
      </c>
      <c r="J122" t="s">
        <v>108</v>
      </c>
      <c r="K122" t="s">
        <v>109</v>
      </c>
      <c r="L122" t="s">
        <v>523</v>
      </c>
      <c r="M122" t="s">
        <v>524</v>
      </c>
      <c r="N122" t="s">
        <v>525</v>
      </c>
      <c r="O122" s="2">
        <v>45240</v>
      </c>
      <c r="P122" t="s">
        <v>526</v>
      </c>
      <c r="Q122" t="s">
        <v>14</v>
      </c>
      <c r="R122" t="s">
        <v>336</v>
      </c>
      <c r="S122" t="s">
        <v>337</v>
      </c>
      <c r="T122" t="s">
        <v>338</v>
      </c>
      <c r="U122" t="s">
        <v>339</v>
      </c>
      <c r="V122" t="s">
        <v>98</v>
      </c>
      <c r="W122" t="s">
        <v>340</v>
      </c>
      <c r="X122" t="s">
        <v>21</v>
      </c>
      <c r="Y122" t="s">
        <v>121</v>
      </c>
      <c r="Z122" t="s">
        <v>122</v>
      </c>
      <c r="AA122" t="s">
        <v>397</v>
      </c>
      <c r="AB122" t="s">
        <v>342</v>
      </c>
      <c r="AC122" t="s">
        <v>527</v>
      </c>
      <c r="AD122" t="s">
        <v>27</v>
      </c>
      <c r="AE122" t="s">
        <v>528</v>
      </c>
      <c r="AF122" s="2">
        <v>45238</v>
      </c>
      <c r="AG122" t="s">
        <v>401</v>
      </c>
      <c r="AH122" t="s">
        <v>529</v>
      </c>
      <c r="AI122" s="2">
        <v>45238</v>
      </c>
      <c r="AJ122" t="s">
        <v>401</v>
      </c>
    </row>
    <row r="123" spans="1:36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5</v>
      </c>
      <c r="H123" t="s">
        <v>6</v>
      </c>
      <c r="I123" t="s">
        <v>107</v>
      </c>
      <c r="J123" t="s">
        <v>108</v>
      </c>
      <c r="K123" t="s">
        <v>109</v>
      </c>
      <c r="L123" t="s">
        <v>523</v>
      </c>
      <c r="M123" t="s">
        <v>524</v>
      </c>
      <c r="N123" t="s">
        <v>525</v>
      </c>
      <c r="O123" s="2">
        <v>45240</v>
      </c>
      <c r="P123" t="s">
        <v>526</v>
      </c>
      <c r="Q123" t="s">
        <v>114</v>
      </c>
      <c r="R123" t="s">
        <v>336</v>
      </c>
      <c r="S123" t="s">
        <v>337</v>
      </c>
      <c r="T123" t="s">
        <v>338</v>
      </c>
      <c r="U123" t="s">
        <v>339</v>
      </c>
      <c r="V123" t="s">
        <v>98</v>
      </c>
      <c r="W123" t="s">
        <v>340</v>
      </c>
      <c r="X123" t="s">
        <v>21</v>
      </c>
      <c r="Y123" t="s">
        <v>121</v>
      </c>
      <c r="Z123" t="s">
        <v>122</v>
      </c>
      <c r="AA123" t="s">
        <v>397</v>
      </c>
      <c r="AB123" t="s">
        <v>342</v>
      </c>
      <c r="AC123" t="s">
        <v>527</v>
      </c>
      <c r="AD123" t="s">
        <v>27</v>
      </c>
      <c r="AE123" t="s">
        <v>528</v>
      </c>
      <c r="AF123" s="2">
        <v>45238</v>
      </c>
      <c r="AG123" t="s">
        <v>401</v>
      </c>
      <c r="AH123" t="s">
        <v>529</v>
      </c>
      <c r="AI123" s="2">
        <v>45238</v>
      </c>
      <c r="AJ123" t="s">
        <v>401</v>
      </c>
    </row>
    <row r="124" spans="1:36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5</v>
      </c>
      <c r="H124" t="s">
        <v>6</v>
      </c>
      <c r="I124" t="s">
        <v>107</v>
      </c>
      <c r="J124" t="s">
        <v>108</v>
      </c>
      <c r="K124" t="s">
        <v>109</v>
      </c>
      <c r="L124" t="s">
        <v>523</v>
      </c>
      <c r="M124" t="s">
        <v>524</v>
      </c>
      <c r="N124" t="s">
        <v>525</v>
      </c>
      <c r="O124" s="2">
        <v>45240</v>
      </c>
      <c r="P124" t="s">
        <v>530</v>
      </c>
      <c r="Q124" t="s">
        <v>14</v>
      </c>
      <c r="R124" t="s">
        <v>336</v>
      </c>
      <c r="S124" t="s">
        <v>337</v>
      </c>
      <c r="T124" t="s">
        <v>338</v>
      </c>
      <c r="U124" t="s">
        <v>339</v>
      </c>
      <c r="V124" t="s">
        <v>98</v>
      </c>
      <c r="W124" t="s">
        <v>340</v>
      </c>
      <c r="X124" t="s">
        <v>21</v>
      </c>
      <c r="Y124" t="s">
        <v>121</v>
      </c>
      <c r="Z124" t="s">
        <v>122</v>
      </c>
      <c r="AA124" t="s">
        <v>397</v>
      </c>
      <c r="AB124" t="s">
        <v>342</v>
      </c>
      <c r="AC124" t="s">
        <v>531</v>
      </c>
      <c r="AD124" t="s">
        <v>27</v>
      </c>
      <c r="AE124" t="s">
        <v>528</v>
      </c>
      <c r="AF124" s="2">
        <v>45238</v>
      </c>
      <c r="AG124" t="s">
        <v>401</v>
      </c>
      <c r="AH124" t="s">
        <v>529</v>
      </c>
      <c r="AI124" s="2">
        <v>45238</v>
      </c>
      <c r="AJ124" t="s">
        <v>401</v>
      </c>
    </row>
    <row r="125" spans="1:36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5</v>
      </c>
      <c r="H125" t="s">
        <v>6</v>
      </c>
      <c r="I125" t="s">
        <v>107</v>
      </c>
      <c r="J125" t="s">
        <v>108</v>
      </c>
      <c r="K125" t="s">
        <v>109</v>
      </c>
      <c r="L125" t="s">
        <v>523</v>
      </c>
      <c r="M125" t="s">
        <v>524</v>
      </c>
      <c r="N125" t="s">
        <v>525</v>
      </c>
      <c r="O125" s="2">
        <v>45240</v>
      </c>
      <c r="P125" t="s">
        <v>530</v>
      </c>
      <c r="Q125" t="s">
        <v>114</v>
      </c>
      <c r="R125" t="s">
        <v>336</v>
      </c>
      <c r="S125" t="s">
        <v>337</v>
      </c>
      <c r="T125" t="s">
        <v>338</v>
      </c>
      <c r="U125" t="s">
        <v>339</v>
      </c>
      <c r="V125" t="s">
        <v>98</v>
      </c>
      <c r="W125" t="s">
        <v>340</v>
      </c>
      <c r="X125" t="s">
        <v>21</v>
      </c>
      <c r="Y125" t="s">
        <v>121</v>
      </c>
      <c r="Z125" t="s">
        <v>122</v>
      </c>
      <c r="AA125" t="s">
        <v>397</v>
      </c>
      <c r="AB125" t="s">
        <v>342</v>
      </c>
      <c r="AC125" t="s">
        <v>531</v>
      </c>
      <c r="AD125" t="s">
        <v>27</v>
      </c>
      <c r="AE125" t="s">
        <v>528</v>
      </c>
      <c r="AF125" s="2">
        <v>45238</v>
      </c>
      <c r="AG125" t="s">
        <v>401</v>
      </c>
      <c r="AH125" t="s">
        <v>529</v>
      </c>
      <c r="AI125" s="2">
        <v>45238</v>
      </c>
      <c r="AJ125" t="s">
        <v>401</v>
      </c>
    </row>
    <row r="126" spans="1:36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5</v>
      </c>
      <c r="H126" t="s">
        <v>6</v>
      </c>
      <c r="I126" t="s">
        <v>7</v>
      </c>
      <c r="J126" t="s">
        <v>8</v>
      </c>
      <c r="K126" t="s">
        <v>148</v>
      </c>
      <c r="L126" t="s">
        <v>149</v>
      </c>
      <c r="M126" t="s">
        <v>150</v>
      </c>
      <c r="N126" t="s">
        <v>151</v>
      </c>
      <c r="O126" s="2">
        <v>45240</v>
      </c>
      <c r="P126" t="s">
        <v>532</v>
      </c>
      <c r="Q126" t="s">
        <v>218</v>
      </c>
      <c r="R126" t="s">
        <v>533</v>
      </c>
      <c r="S126" t="s">
        <v>534</v>
      </c>
      <c r="T126" t="s">
        <v>535</v>
      </c>
      <c r="U126" t="s">
        <v>536</v>
      </c>
      <c r="V126" t="s">
        <v>119</v>
      </c>
      <c r="W126" t="s">
        <v>537</v>
      </c>
      <c r="X126" t="s">
        <v>139</v>
      </c>
      <c r="Y126" t="s">
        <v>140</v>
      </c>
      <c r="Z126" t="s">
        <v>228</v>
      </c>
      <c r="AA126" t="s">
        <v>538</v>
      </c>
      <c r="AB126" t="s">
        <v>539</v>
      </c>
      <c r="AC126" t="s">
        <v>540</v>
      </c>
      <c r="AD126" t="s">
        <v>219</v>
      </c>
      <c r="AE126" t="s">
        <v>541</v>
      </c>
      <c r="AF126" s="2">
        <v>45231</v>
      </c>
      <c r="AG126" t="s">
        <v>29</v>
      </c>
      <c r="AH126" t="s">
        <v>542</v>
      </c>
      <c r="AI126" s="2">
        <v>45231</v>
      </c>
      <c r="AJ126" t="s">
        <v>29</v>
      </c>
    </row>
    <row r="127" spans="1:36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5</v>
      </c>
      <c r="H127" t="s">
        <v>6</v>
      </c>
      <c r="I127" t="s">
        <v>261</v>
      </c>
      <c r="J127" t="s">
        <v>262</v>
      </c>
      <c r="K127" t="s">
        <v>263</v>
      </c>
      <c r="L127" t="s">
        <v>264</v>
      </c>
      <c r="M127" t="s">
        <v>265</v>
      </c>
      <c r="N127" t="s">
        <v>266</v>
      </c>
      <c r="O127" s="2">
        <v>45240</v>
      </c>
      <c r="P127" t="s">
        <v>543</v>
      </c>
      <c r="Q127" t="s">
        <v>218</v>
      </c>
      <c r="R127" t="s">
        <v>501</v>
      </c>
      <c r="S127" t="s">
        <v>502</v>
      </c>
      <c r="T127" t="s">
        <v>503</v>
      </c>
      <c r="U127" t="s">
        <v>504</v>
      </c>
      <c r="V127" t="s">
        <v>119</v>
      </c>
      <c r="W127" t="s">
        <v>272</v>
      </c>
      <c r="X127" t="s">
        <v>43</v>
      </c>
      <c r="Y127" t="s">
        <v>198</v>
      </c>
      <c r="Z127" t="s">
        <v>246</v>
      </c>
      <c r="AA127" t="s">
        <v>46</v>
      </c>
      <c r="AB127" t="s">
        <v>465</v>
      </c>
      <c r="AC127" t="s">
        <v>509</v>
      </c>
      <c r="AD127" t="s">
        <v>219</v>
      </c>
      <c r="AE127" t="s">
        <v>544</v>
      </c>
      <c r="AF127" s="2">
        <v>45230</v>
      </c>
      <c r="AG127" t="s">
        <v>51</v>
      </c>
      <c r="AH127" t="s">
        <v>545</v>
      </c>
      <c r="AI127" s="2">
        <v>45230</v>
      </c>
      <c r="AJ127" t="s">
        <v>29</v>
      </c>
    </row>
    <row r="128" spans="1:36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5</v>
      </c>
      <c r="H128" t="s">
        <v>6</v>
      </c>
      <c r="I128" t="s">
        <v>261</v>
      </c>
      <c r="J128" t="s">
        <v>262</v>
      </c>
      <c r="K128" t="s">
        <v>263</v>
      </c>
      <c r="L128" t="s">
        <v>264</v>
      </c>
      <c r="M128" t="s">
        <v>265</v>
      </c>
      <c r="N128" t="s">
        <v>266</v>
      </c>
      <c r="O128" s="2">
        <v>45240</v>
      </c>
      <c r="P128" t="s">
        <v>546</v>
      </c>
      <c r="Q128" t="s">
        <v>218</v>
      </c>
      <c r="R128" t="s">
        <v>501</v>
      </c>
      <c r="S128" t="s">
        <v>502</v>
      </c>
      <c r="T128" t="s">
        <v>503</v>
      </c>
      <c r="U128" t="s">
        <v>504</v>
      </c>
      <c r="V128" t="s">
        <v>119</v>
      </c>
      <c r="W128" t="s">
        <v>272</v>
      </c>
      <c r="X128" t="s">
        <v>43</v>
      </c>
      <c r="Y128" t="s">
        <v>198</v>
      </c>
      <c r="Z128" t="s">
        <v>246</v>
      </c>
      <c r="AA128" t="s">
        <v>46</v>
      </c>
      <c r="AB128" t="s">
        <v>465</v>
      </c>
      <c r="AC128" t="s">
        <v>505</v>
      </c>
      <c r="AD128" t="s">
        <v>219</v>
      </c>
      <c r="AE128" t="s">
        <v>544</v>
      </c>
      <c r="AF128" s="2">
        <v>45230</v>
      </c>
      <c r="AG128" t="s">
        <v>51</v>
      </c>
      <c r="AH128" t="s">
        <v>547</v>
      </c>
      <c r="AI128" s="2">
        <v>45230</v>
      </c>
      <c r="AJ128" t="s">
        <v>29</v>
      </c>
    </row>
    <row r="129" spans="1:36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5</v>
      </c>
      <c r="H129" t="s">
        <v>6</v>
      </c>
      <c r="I129" t="s">
        <v>127</v>
      </c>
      <c r="J129" t="s">
        <v>128</v>
      </c>
      <c r="K129" t="s">
        <v>129</v>
      </c>
      <c r="L129" t="s">
        <v>203</v>
      </c>
      <c r="M129" t="s">
        <v>204</v>
      </c>
      <c r="N129" t="s">
        <v>205</v>
      </c>
      <c r="O129" s="2">
        <v>45244</v>
      </c>
      <c r="P129" t="s">
        <v>548</v>
      </c>
      <c r="Q129" t="s">
        <v>14</v>
      </c>
      <c r="R129" t="s">
        <v>404</v>
      </c>
      <c r="S129" t="s">
        <v>405</v>
      </c>
      <c r="T129" t="s">
        <v>406</v>
      </c>
      <c r="U129" t="s">
        <v>407</v>
      </c>
      <c r="V129" t="s">
        <v>98</v>
      </c>
      <c r="W129" t="s">
        <v>408</v>
      </c>
      <c r="X129" t="s">
        <v>43</v>
      </c>
      <c r="Y129" t="s">
        <v>63</v>
      </c>
      <c r="Z129" t="s">
        <v>341</v>
      </c>
      <c r="AA129" t="s">
        <v>409</v>
      </c>
      <c r="AB129" t="s">
        <v>410</v>
      </c>
      <c r="AC129" t="s">
        <v>549</v>
      </c>
      <c r="AD129" t="s">
        <v>27</v>
      </c>
      <c r="AE129" t="s">
        <v>550</v>
      </c>
      <c r="AF129" s="2">
        <v>45244</v>
      </c>
      <c r="AG129" t="s">
        <v>355</v>
      </c>
      <c r="AH129" t="s">
        <v>551</v>
      </c>
      <c r="AI129" s="2">
        <v>45244</v>
      </c>
      <c r="AJ129" t="s">
        <v>355</v>
      </c>
    </row>
    <row r="130" spans="1:36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5</v>
      </c>
      <c r="H130" t="s">
        <v>6</v>
      </c>
      <c r="I130" t="s">
        <v>127</v>
      </c>
      <c r="J130" t="s">
        <v>128</v>
      </c>
      <c r="K130" t="s">
        <v>129</v>
      </c>
      <c r="L130" t="s">
        <v>203</v>
      </c>
      <c r="M130" t="s">
        <v>204</v>
      </c>
      <c r="N130" t="s">
        <v>205</v>
      </c>
      <c r="O130" s="2">
        <v>45244</v>
      </c>
      <c r="P130" t="s">
        <v>548</v>
      </c>
      <c r="Q130" t="s">
        <v>114</v>
      </c>
      <c r="R130" t="s">
        <v>404</v>
      </c>
      <c r="S130" t="s">
        <v>405</v>
      </c>
      <c r="T130" t="s">
        <v>406</v>
      </c>
      <c r="U130" t="s">
        <v>407</v>
      </c>
      <c r="V130" t="s">
        <v>98</v>
      </c>
      <c r="W130" t="s">
        <v>408</v>
      </c>
      <c r="X130" t="s">
        <v>43</v>
      </c>
      <c r="Y130" t="s">
        <v>63</v>
      </c>
      <c r="Z130" t="s">
        <v>341</v>
      </c>
      <c r="AA130" t="s">
        <v>409</v>
      </c>
      <c r="AB130" t="s">
        <v>410</v>
      </c>
      <c r="AC130" t="s">
        <v>549</v>
      </c>
      <c r="AD130" t="s">
        <v>27</v>
      </c>
      <c r="AE130" t="s">
        <v>550</v>
      </c>
      <c r="AF130" s="2">
        <v>45244</v>
      </c>
      <c r="AG130" t="s">
        <v>355</v>
      </c>
      <c r="AH130" t="s">
        <v>551</v>
      </c>
      <c r="AI130" s="2">
        <v>45244</v>
      </c>
      <c r="AJ130" t="s">
        <v>355</v>
      </c>
    </row>
    <row r="131" spans="1:36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5</v>
      </c>
      <c r="H131" t="s">
        <v>6</v>
      </c>
      <c r="I131" t="s">
        <v>7</v>
      </c>
      <c r="J131" t="s">
        <v>8</v>
      </c>
      <c r="K131" t="s">
        <v>9</v>
      </c>
      <c r="L131" t="s">
        <v>552</v>
      </c>
      <c r="M131" t="s">
        <v>553</v>
      </c>
      <c r="N131" t="s">
        <v>554</v>
      </c>
      <c r="O131" s="2">
        <v>45244</v>
      </c>
      <c r="P131" t="s">
        <v>555</v>
      </c>
      <c r="Q131" t="s">
        <v>14</v>
      </c>
      <c r="R131" t="s">
        <v>556</v>
      </c>
      <c r="S131" t="s">
        <v>557</v>
      </c>
      <c r="T131" t="s">
        <v>558</v>
      </c>
      <c r="U131" t="s">
        <v>559</v>
      </c>
      <c r="V131" t="s">
        <v>19</v>
      </c>
      <c r="W131" t="s">
        <v>20</v>
      </c>
      <c r="X131" t="s">
        <v>21</v>
      </c>
      <c r="Y131" t="s">
        <v>22</v>
      </c>
      <c r="Z131" t="s">
        <v>171</v>
      </c>
      <c r="AA131" t="s">
        <v>496</v>
      </c>
      <c r="AB131" t="s">
        <v>25</v>
      </c>
      <c r="AC131" t="s">
        <v>26</v>
      </c>
      <c r="AD131" t="s">
        <v>27</v>
      </c>
      <c r="AE131" t="s">
        <v>560</v>
      </c>
      <c r="AF131" s="2">
        <v>45229</v>
      </c>
      <c r="AG131" t="s">
        <v>29</v>
      </c>
      <c r="AH131" t="s">
        <v>561</v>
      </c>
      <c r="AI131" s="2">
        <v>45244</v>
      </c>
      <c r="AJ131" t="s">
        <v>29</v>
      </c>
    </row>
    <row r="132" spans="1:36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5</v>
      </c>
      <c r="H132" t="s">
        <v>6</v>
      </c>
      <c r="I132" t="s">
        <v>7</v>
      </c>
      <c r="J132" t="s">
        <v>8</v>
      </c>
      <c r="K132" t="s">
        <v>148</v>
      </c>
      <c r="L132" t="s">
        <v>163</v>
      </c>
      <c r="M132" t="s">
        <v>164</v>
      </c>
      <c r="N132" t="s">
        <v>165</v>
      </c>
      <c r="O132" s="2">
        <v>45244</v>
      </c>
      <c r="P132" t="s">
        <v>562</v>
      </c>
      <c r="Q132" t="s">
        <v>114</v>
      </c>
      <c r="R132" t="s">
        <v>563</v>
      </c>
      <c r="S132" t="s">
        <v>564</v>
      </c>
      <c r="T132" t="s">
        <v>565</v>
      </c>
      <c r="U132" t="s">
        <v>566</v>
      </c>
      <c r="V132" t="s">
        <v>98</v>
      </c>
      <c r="W132" t="s">
        <v>272</v>
      </c>
      <c r="X132" t="s">
        <v>43</v>
      </c>
      <c r="Y132" t="s">
        <v>198</v>
      </c>
      <c r="Z132" t="s">
        <v>228</v>
      </c>
      <c r="AA132" t="s">
        <v>46</v>
      </c>
      <c r="AB132" t="s">
        <v>567</v>
      </c>
      <c r="AC132" t="s">
        <v>568</v>
      </c>
      <c r="AD132" t="s">
        <v>27</v>
      </c>
      <c r="AE132" t="s">
        <v>569</v>
      </c>
      <c r="AF132" s="2">
        <v>45233</v>
      </c>
      <c r="AG132" t="s">
        <v>29</v>
      </c>
      <c r="AH132" t="s">
        <v>570</v>
      </c>
      <c r="AI132" s="2">
        <v>45244</v>
      </c>
      <c r="AJ132" t="s">
        <v>29</v>
      </c>
    </row>
    <row r="133" spans="1:36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5</v>
      </c>
      <c r="H133" t="s">
        <v>6</v>
      </c>
      <c r="I133" t="s">
        <v>7</v>
      </c>
      <c r="J133" t="s">
        <v>8</v>
      </c>
      <c r="K133" t="s">
        <v>148</v>
      </c>
      <c r="L133" t="s">
        <v>163</v>
      </c>
      <c r="M133" t="s">
        <v>164</v>
      </c>
      <c r="N133" t="s">
        <v>165</v>
      </c>
      <c r="O133" s="2">
        <v>45244</v>
      </c>
      <c r="P133" t="s">
        <v>562</v>
      </c>
      <c r="Q133" t="s">
        <v>14</v>
      </c>
      <c r="R133" t="s">
        <v>563</v>
      </c>
      <c r="S133" t="s">
        <v>564</v>
      </c>
      <c r="T133" t="s">
        <v>565</v>
      </c>
      <c r="U133" t="s">
        <v>566</v>
      </c>
      <c r="V133" t="s">
        <v>98</v>
      </c>
      <c r="W133" t="s">
        <v>272</v>
      </c>
      <c r="X133" t="s">
        <v>43</v>
      </c>
      <c r="Y133" t="s">
        <v>198</v>
      </c>
      <c r="Z133" t="s">
        <v>228</v>
      </c>
      <c r="AA133" t="s">
        <v>46</v>
      </c>
      <c r="AB133" t="s">
        <v>567</v>
      </c>
      <c r="AC133" t="s">
        <v>568</v>
      </c>
      <c r="AD133" t="s">
        <v>27</v>
      </c>
      <c r="AE133" t="s">
        <v>569</v>
      </c>
      <c r="AF133" s="2">
        <v>45233</v>
      </c>
      <c r="AG133" t="s">
        <v>29</v>
      </c>
      <c r="AH133" t="s">
        <v>570</v>
      </c>
      <c r="AI133" s="2">
        <v>45244</v>
      </c>
      <c r="AJ133" t="s">
        <v>29</v>
      </c>
    </row>
    <row r="134" spans="1:36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5</v>
      </c>
      <c r="H134" t="s">
        <v>6</v>
      </c>
      <c r="I134" t="s">
        <v>31</v>
      </c>
      <c r="J134" t="s">
        <v>32</v>
      </c>
      <c r="K134" t="s">
        <v>33</v>
      </c>
      <c r="L134" t="s">
        <v>34</v>
      </c>
      <c r="M134" t="s">
        <v>35</v>
      </c>
      <c r="N134" t="s">
        <v>36</v>
      </c>
      <c r="O134" s="2">
        <v>45244</v>
      </c>
      <c r="P134" t="s">
        <v>571</v>
      </c>
      <c r="Q134" t="s">
        <v>114</v>
      </c>
      <c r="R134" t="s">
        <v>572</v>
      </c>
      <c r="S134" t="s">
        <v>573</v>
      </c>
      <c r="T134" t="s">
        <v>574</v>
      </c>
      <c r="U134" t="s">
        <v>575</v>
      </c>
      <c r="V134" t="s">
        <v>98</v>
      </c>
      <c r="W134" t="s">
        <v>62</v>
      </c>
      <c r="X134" t="s">
        <v>43</v>
      </c>
      <c r="Y134" t="s">
        <v>63</v>
      </c>
      <c r="Z134" t="s">
        <v>576</v>
      </c>
      <c r="AA134" t="s">
        <v>46</v>
      </c>
      <c r="AB134" t="s">
        <v>65</v>
      </c>
      <c r="AC134" t="s">
        <v>577</v>
      </c>
      <c r="AD134" t="s">
        <v>27</v>
      </c>
      <c r="AE134" t="s">
        <v>578</v>
      </c>
      <c r="AF134" s="2">
        <v>45234</v>
      </c>
      <c r="AG134" t="s">
        <v>29</v>
      </c>
      <c r="AH134" t="s">
        <v>579</v>
      </c>
      <c r="AI134" s="2">
        <v>45238</v>
      </c>
      <c r="AJ134" t="s">
        <v>29</v>
      </c>
    </row>
    <row r="135" spans="1:36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5</v>
      </c>
      <c r="H135" t="s">
        <v>6</v>
      </c>
      <c r="I135" t="s">
        <v>31</v>
      </c>
      <c r="J135" t="s">
        <v>32</v>
      </c>
      <c r="K135" t="s">
        <v>33</v>
      </c>
      <c r="L135" t="s">
        <v>34</v>
      </c>
      <c r="M135" t="s">
        <v>35</v>
      </c>
      <c r="N135" t="s">
        <v>36</v>
      </c>
      <c r="O135" s="2">
        <v>45244</v>
      </c>
      <c r="P135" t="s">
        <v>571</v>
      </c>
      <c r="Q135" t="s">
        <v>14</v>
      </c>
      <c r="R135" t="s">
        <v>572</v>
      </c>
      <c r="S135" t="s">
        <v>573</v>
      </c>
      <c r="T135" t="s">
        <v>574</v>
      </c>
      <c r="U135" t="s">
        <v>575</v>
      </c>
      <c r="V135" t="s">
        <v>98</v>
      </c>
      <c r="W135" t="s">
        <v>62</v>
      </c>
      <c r="X135" t="s">
        <v>43</v>
      </c>
      <c r="Y135" t="s">
        <v>63</v>
      </c>
      <c r="Z135" t="s">
        <v>576</v>
      </c>
      <c r="AA135" t="s">
        <v>46</v>
      </c>
      <c r="AB135" t="s">
        <v>65</v>
      </c>
      <c r="AC135" t="s">
        <v>577</v>
      </c>
      <c r="AD135" t="s">
        <v>27</v>
      </c>
      <c r="AE135" t="s">
        <v>578</v>
      </c>
      <c r="AF135" s="2">
        <v>45234</v>
      </c>
      <c r="AG135" t="s">
        <v>29</v>
      </c>
      <c r="AH135" t="s">
        <v>579</v>
      </c>
      <c r="AI135" s="2">
        <v>45238</v>
      </c>
      <c r="AJ135" t="s">
        <v>29</v>
      </c>
    </row>
    <row r="136" spans="1:36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5</v>
      </c>
      <c r="H136" t="s">
        <v>6</v>
      </c>
      <c r="I136" t="s">
        <v>127</v>
      </c>
      <c r="J136" t="s">
        <v>128</v>
      </c>
      <c r="K136" t="s">
        <v>129</v>
      </c>
      <c r="L136" t="s">
        <v>203</v>
      </c>
      <c r="M136" t="s">
        <v>204</v>
      </c>
      <c r="N136" t="s">
        <v>205</v>
      </c>
      <c r="O136" s="2">
        <v>45244</v>
      </c>
      <c r="P136" t="s">
        <v>580</v>
      </c>
      <c r="Q136" t="s">
        <v>218</v>
      </c>
      <c r="R136" t="s">
        <v>581</v>
      </c>
      <c r="S136" t="s">
        <v>582</v>
      </c>
      <c r="T136" t="s">
        <v>583</v>
      </c>
      <c r="U136" t="s">
        <v>584</v>
      </c>
      <c r="V136" t="s">
        <v>119</v>
      </c>
      <c r="W136" t="s">
        <v>272</v>
      </c>
      <c r="X136" t="s">
        <v>43</v>
      </c>
      <c r="Y136" t="s">
        <v>198</v>
      </c>
      <c r="Z136" t="s">
        <v>141</v>
      </c>
      <c r="AA136" t="s">
        <v>46</v>
      </c>
      <c r="AB136" t="s">
        <v>585</v>
      </c>
      <c r="AC136" t="s">
        <v>586</v>
      </c>
      <c r="AD136" t="s">
        <v>219</v>
      </c>
      <c r="AE136" t="s">
        <v>587</v>
      </c>
      <c r="AF136" s="2">
        <v>45230</v>
      </c>
      <c r="AG136" t="s">
        <v>29</v>
      </c>
      <c r="AH136" t="s">
        <v>588</v>
      </c>
      <c r="AI136" s="2">
        <v>45230</v>
      </c>
      <c r="AJ136" t="s">
        <v>29</v>
      </c>
    </row>
    <row r="137" spans="1:36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5</v>
      </c>
      <c r="H137" t="s">
        <v>6</v>
      </c>
      <c r="I137" t="s">
        <v>75</v>
      </c>
      <c r="J137" t="s">
        <v>76</v>
      </c>
      <c r="K137" t="s">
        <v>77</v>
      </c>
      <c r="L137" t="s">
        <v>78</v>
      </c>
      <c r="M137" t="s">
        <v>79</v>
      </c>
      <c r="N137" t="s">
        <v>80</v>
      </c>
      <c r="O137" s="2">
        <v>45244</v>
      </c>
      <c r="P137" t="s">
        <v>589</v>
      </c>
      <c r="Q137" t="s">
        <v>218</v>
      </c>
      <c r="R137" t="s">
        <v>590</v>
      </c>
      <c r="S137" t="s">
        <v>591</v>
      </c>
      <c r="T137" t="s">
        <v>592</v>
      </c>
      <c r="U137" t="s">
        <v>593</v>
      </c>
      <c r="V137" t="s">
        <v>119</v>
      </c>
      <c r="W137" t="s">
        <v>272</v>
      </c>
      <c r="X137" t="s">
        <v>43</v>
      </c>
      <c r="Y137" t="s">
        <v>198</v>
      </c>
      <c r="Z137" t="s">
        <v>464</v>
      </c>
      <c r="AA137" t="s">
        <v>46</v>
      </c>
      <c r="AB137" t="s">
        <v>567</v>
      </c>
      <c r="AC137" t="s">
        <v>594</v>
      </c>
      <c r="AD137" t="s">
        <v>219</v>
      </c>
      <c r="AE137" t="s">
        <v>595</v>
      </c>
      <c r="AF137" s="2">
        <v>45181</v>
      </c>
      <c r="AG137" t="s">
        <v>51</v>
      </c>
      <c r="AH137" t="s">
        <v>596</v>
      </c>
      <c r="AI137" s="2">
        <v>45228</v>
      </c>
      <c r="AJ137" t="s">
        <v>29</v>
      </c>
    </row>
    <row r="138" spans="1:36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5</v>
      </c>
      <c r="H138" t="s">
        <v>6</v>
      </c>
      <c r="I138" t="s">
        <v>31</v>
      </c>
      <c r="J138" t="s">
        <v>32</v>
      </c>
      <c r="K138" t="s">
        <v>597</v>
      </c>
      <c r="L138" t="s">
        <v>598</v>
      </c>
      <c r="M138" t="s">
        <v>599</v>
      </c>
      <c r="N138" t="s">
        <v>600</v>
      </c>
      <c r="O138" s="2">
        <v>45244</v>
      </c>
      <c r="P138" t="s">
        <v>601</v>
      </c>
      <c r="Q138" t="s">
        <v>114</v>
      </c>
      <c r="R138" t="s">
        <v>602</v>
      </c>
      <c r="S138" t="s">
        <v>603</v>
      </c>
      <c r="T138" t="s">
        <v>604</v>
      </c>
      <c r="U138" t="s">
        <v>605</v>
      </c>
      <c r="V138" t="s">
        <v>98</v>
      </c>
      <c r="W138" t="s">
        <v>20</v>
      </c>
      <c r="X138" t="s">
        <v>21</v>
      </c>
      <c r="Y138" t="s">
        <v>22</v>
      </c>
      <c r="Z138" t="s">
        <v>45</v>
      </c>
      <c r="AA138" t="s">
        <v>496</v>
      </c>
      <c r="AB138" t="s">
        <v>25</v>
      </c>
      <c r="AC138" t="s">
        <v>606</v>
      </c>
      <c r="AD138" t="s">
        <v>27</v>
      </c>
      <c r="AE138" t="s">
        <v>607</v>
      </c>
      <c r="AF138" s="2">
        <v>45240</v>
      </c>
      <c r="AG138" t="s">
        <v>29</v>
      </c>
      <c r="AH138" t="s">
        <v>608</v>
      </c>
      <c r="AI138" s="2">
        <v>45240</v>
      </c>
      <c r="AJ138" t="s">
        <v>29</v>
      </c>
    </row>
    <row r="139" spans="1:36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5</v>
      </c>
      <c r="H139" t="s">
        <v>6</v>
      </c>
      <c r="I139" t="s">
        <v>31</v>
      </c>
      <c r="J139" t="s">
        <v>32</v>
      </c>
      <c r="K139" t="s">
        <v>597</v>
      </c>
      <c r="L139" t="s">
        <v>598</v>
      </c>
      <c r="M139" t="s">
        <v>599</v>
      </c>
      <c r="N139" t="s">
        <v>600</v>
      </c>
      <c r="O139" s="2">
        <v>45244</v>
      </c>
      <c r="P139" t="s">
        <v>601</v>
      </c>
      <c r="Q139" t="s">
        <v>14</v>
      </c>
      <c r="R139" t="s">
        <v>602</v>
      </c>
      <c r="S139" t="s">
        <v>603</v>
      </c>
      <c r="T139" t="s">
        <v>604</v>
      </c>
      <c r="U139" t="s">
        <v>605</v>
      </c>
      <c r="V139" t="s">
        <v>98</v>
      </c>
      <c r="W139" t="s">
        <v>20</v>
      </c>
      <c r="X139" t="s">
        <v>21</v>
      </c>
      <c r="Y139" t="s">
        <v>22</v>
      </c>
      <c r="Z139" t="s">
        <v>45</v>
      </c>
      <c r="AA139" t="s">
        <v>496</v>
      </c>
      <c r="AB139" t="s">
        <v>25</v>
      </c>
      <c r="AC139" t="s">
        <v>606</v>
      </c>
      <c r="AD139" t="s">
        <v>27</v>
      </c>
      <c r="AE139" t="s">
        <v>607</v>
      </c>
      <c r="AF139" s="2">
        <v>45240</v>
      </c>
      <c r="AG139" t="s">
        <v>29</v>
      </c>
      <c r="AH139" t="s">
        <v>608</v>
      </c>
      <c r="AI139" s="2">
        <v>45240</v>
      </c>
      <c r="AJ139" t="s">
        <v>29</v>
      </c>
    </row>
    <row r="140" spans="1:36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5</v>
      </c>
      <c r="H140" t="s">
        <v>6</v>
      </c>
      <c r="I140" t="s">
        <v>127</v>
      </c>
      <c r="J140" t="s">
        <v>128</v>
      </c>
      <c r="K140" t="s">
        <v>129</v>
      </c>
      <c r="L140" t="s">
        <v>203</v>
      </c>
      <c r="M140" t="s">
        <v>204</v>
      </c>
      <c r="N140" t="s">
        <v>205</v>
      </c>
      <c r="O140" s="2">
        <v>45244</v>
      </c>
      <c r="P140" t="s">
        <v>609</v>
      </c>
      <c r="Q140" t="s">
        <v>114</v>
      </c>
      <c r="R140" t="s">
        <v>404</v>
      </c>
      <c r="S140" t="s">
        <v>405</v>
      </c>
      <c r="T140" t="s">
        <v>406</v>
      </c>
      <c r="U140" t="s">
        <v>407</v>
      </c>
      <c r="V140" t="s">
        <v>98</v>
      </c>
      <c r="W140" t="s">
        <v>408</v>
      </c>
      <c r="X140" t="s">
        <v>43</v>
      </c>
      <c r="Y140" t="s">
        <v>63</v>
      </c>
      <c r="Z140" t="s">
        <v>341</v>
      </c>
      <c r="AA140" t="s">
        <v>409</v>
      </c>
      <c r="AB140" t="s">
        <v>410</v>
      </c>
      <c r="AC140" t="s">
        <v>610</v>
      </c>
      <c r="AD140" t="s">
        <v>27</v>
      </c>
      <c r="AE140" t="s">
        <v>550</v>
      </c>
      <c r="AF140" s="2">
        <v>45244</v>
      </c>
      <c r="AG140" t="s">
        <v>355</v>
      </c>
      <c r="AH140" t="s">
        <v>551</v>
      </c>
      <c r="AI140" s="2">
        <v>45244</v>
      </c>
      <c r="AJ140" t="s">
        <v>355</v>
      </c>
    </row>
    <row r="141" spans="1:36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5</v>
      </c>
      <c r="H141" t="s">
        <v>6</v>
      </c>
      <c r="I141" t="s">
        <v>127</v>
      </c>
      <c r="J141" t="s">
        <v>128</v>
      </c>
      <c r="K141" t="s">
        <v>129</v>
      </c>
      <c r="L141" t="s">
        <v>203</v>
      </c>
      <c r="M141" t="s">
        <v>204</v>
      </c>
      <c r="N141" t="s">
        <v>205</v>
      </c>
      <c r="O141" s="2">
        <v>45244</v>
      </c>
      <c r="P141" t="s">
        <v>609</v>
      </c>
      <c r="Q141" t="s">
        <v>14</v>
      </c>
      <c r="R141" t="s">
        <v>404</v>
      </c>
      <c r="S141" t="s">
        <v>405</v>
      </c>
      <c r="T141" t="s">
        <v>406</v>
      </c>
      <c r="U141" t="s">
        <v>407</v>
      </c>
      <c r="V141" t="s">
        <v>98</v>
      </c>
      <c r="W141" t="s">
        <v>408</v>
      </c>
      <c r="X141" t="s">
        <v>43</v>
      </c>
      <c r="Y141" t="s">
        <v>63</v>
      </c>
      <c r="Z141" t="s">
        <v>341</v>
      </c>
      <c r="AA141" t="s">
        <v>409</v>
      </c>
      <c r="AB141" t="s">
        <v>410</v>
      </c>
      <c r="AC141" t="s">
        <v>610</v>
      </c>
      <c r="AD141" t="s">
        <v>27</v>
      </c>
      <c r="AE141" t="s">
        <v>550</v>
      </c>
      <c r="AF141" s="2">
        <v>45244</v>
      </c>
      <c r="AG141" t="s">
        <v>355</v>
      </c>
      <c r="AH141" t="s">
        <v>551</v>
      </c>
      <c r="AI141" s="2">
        <v>45244</v>
      </c>
      <c r="AJ141" t="s">
        <v>355</v>
      </c>
    </row>
    <row r="142" spans="1:36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5</v>
      </c>
      <c r="H142" t="s">
        <v>6</v>
      </c>
      <c r="I142" t="s">
        <v>127</v>
      </c>
      <c r="J142" t="s">
        <v>128</v>
      </c>
      <c r="K142" t="s">
        <v>129</v>
      </c>
      <c r="L142" t="s">
        <v>203</v>
      </c>
      <c r="M142" t="s">
        <v>204</v>
      </c>
      <c r="N142" t="s">
        <v>205</v>
      </c>
      <c r="O142" s="2">
        <v>45244</v>
      </c>
      <c r="P142" t="s">
        <v>611</v>
      </c>
      <c r="Q142" t="s">
        <v>114</v>
      </c>
      <c r="R142" t="s">
        <v>404</v>
      </c>
      <c r="S142" t="s">
        <v>405</v>
      </c>
      <c r="T142" t="s">
        <v>406</v>
      </c>
      <c r="U142" t="s">
        <v>407</v>
      </c>
      <c r="V142" t="s">
        <v>98</v>
      </c>
      <c r="W142" t="s">
        <v>408</v>
      </c>
      <c r="X142" t="s">
        <v>43</v>
      </c>
      <c r="Y142" t="s">
        <v>63</v>
      </c>
      <c r="Z142" t="s">
        <v>341</v>
      </c>
      <c r="AA142" t="s">
        <v>409</v>
      </c>
      <c r="AB142" t="s">
        <v>410</v>
      </c>
      <c r="AC142" t="s">
        <v>612</v>
      </c>
      <c r="AD142" t="s">
        <v>27</v>
      </c>
      <c r="AE142" t="s">
        <v>550</v>
      </c>
      <c r="AF142" s="2">
        <v>45244</v>
      </c>
      <c r="AG142" t="s">
        <v>355</v>
      </c>
      <c r="AH142" t="s">
        <v>551</v>
      </c>
      <c r="AI142" s="2">
        <v>45244</v>
      </c>
      <c r="AJ142" t="s">
        <v>355</v>
      </c>
    </row>
    <row r="143" spans="1:36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5</v>
      </c>
      <c r="H143" t="s">
        <v>6</v>
      </c>
      <c r="I143" t="s">
        <v>127</v>
      </c>
      <c r="J143" t="s">
        <v>128</v>
      </c>
      <c r="K143" t="s">
        <v>129</v>
      </c>
      <c r="L143" t="s">
        <v>203</v>
      </c>
      <c r="M143" t="s">
        <v>204</v>
      </c>
      <c r="N143" t="s">
        <v>205</v>
      </c>
      <c r="O143" s="2">
        <v>45244</v>
      </c>
      <c r="P143" t="s">
        <v>611</v>
      </c>
      <c r="Q143" t="s">
        <v>14</v>
      </c>
      <c r="R143" t="s">
        <v>404</v>
      </c>
      <c r="S143" t="s">
        <v>405</v>
      </c>
      <c r="T143" t="s">
        <v>406</v>
      </c>
      <c r="U143" t="s">
        <v>407</v>
      </c>
      <c r="V143" t="s">
        <v>98</v>
      </c>
      <c r="W143" t="s">
        <v>408</v>
      </c>
      <c r="X143" t="s">
        <v>43</v>
      </c>
      <c r="Y143" t="s">
        <v>63</v>
      </c>
      <c r="Z143" t="s">
        <v>341</v>
      </c>
      <c r="AA143" t="s">
        <v>409</v>
      </c>
      <c r="AB143" t="s">
        <v>410</v>
      </c>
      <c r="AC143" t="s">
        <v>612</v>
      </c>
      <c r="AD143" t="s">
        <v>27</v>
      </c>
      <c r="AE143" t="s">
        <v>550</v>
      </c>
      <c r="AF143" s="2">
        <v>45244</v>
      </c>
      <c r="AG143" t="s">
        <v>355</v>
      </c>
      <c r="AH143" t="s">
        <v>551</v>
      </c>
      <c r="AI143" s="2">
        <v>45244</v>
      </c>
      <c r="AJ143" t="s">
        <v>355</v>
      </c>
    </row>
    <row r="144" spans="1:36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5</v>
      </c>
      <c r="H144" t="s">
        <v>6</v>
      </c>
      <c r="I144" t="s">
        <v>127</v>
      </c>
      <c r="J144" t="s">
        <v>128</v>
      </c>
      <c r="K144" t="s">
        <v>129</v>
      </c>
      <c r="L144" t="s">
        <v>203</v>
      </c>
      <c r="M144" t="s">
        <v>204</v>
      </c>
      <c r="N144" t="s">
        <v>205</v>
      </c>
      <c r="O144" s="2">
        <v>45244</v>
      </c>
      <c r="P144" t="s">
        <v>613</v>
      </c>
      <c r="Q144" t="s">
        <v>114</v>
      </c>
      <c r="R144" t="s">
        <v>404</v>
      </c>
      <c r="S144" t="s">
        <v>405</v>
      </c>
      <c r="T144" t="s">
        <v>406</v>
      </c>
      <c r="U144" t="s">
        <v>407</v>
      </c>
      <c r="V144" t="s">
        <v>98</v>
      </c>
      <c r="W144" t="s">
        <v>408</v>
      </c>
      <c r="X144" t="s">
        <v>43</v>
      </c>
      <c r="Y144" t="s">
        <v>63</v>
      </c>
      <c r="Z144" t="s">
        <v>341</v>
      </c>
      <c r="AA144" t="s">
        <v>409</v>
      </c>
      <c r="AB144" t="s">
        <v>410</v>
      </c>
      <c r="AC144" t="s">
        <v>614</v>
      </c>
      <c r="AD144" t="s">
        <v>27</v>
      </c>
      <c r="AE144" t="s">
        <v>550</v>
      </c>
      <c r="AF144" s="2">
        <v>45244</v>
      </c>
      <c r="AG144" t="s">
        <v>355</v>
      </c>
      <c r="AH144" t="s">
        <v>551</v>
      </c>
      <c r="AI144" s="2">
        <v>45244</v>
      </c>
      <c r="AJ144" t="s">
        <v>355</v>
      </c>
    </row>
    <row r="145" spans="1:36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5</v>
      </c>
      <c r="H145" t="s">
        <v>6</v>
      </c>
      <c r="I145" t="s">
        <v>127</v>
      </c>
      <c r="J145" t="s">
        <v>128</v>
      </c>
      <c r="K145" t="s">
        <v>129</v>
      </c>
      <c r="L145" t="s">
        <v>203</v>
      </c>
      <c r="M145" t="s">
        <v>204</v>
      </c>
      <c r="N145" t="s">
        <v>205</v>
      </c>
      <c r="O145" s="2">
        <v>45244</v>
      </c>
      <c r="P145" t="s">
        <v>613</v>
      </c>
      <c r="Q145" t="s">
        <v>14</v>
      </c>
      <c r="R145" t="s">
        <v>404</v>
      </c>
      <c r="S145" t="s">
        <v>405</v>
      </c>
      <c r="T145" t="s">
        <v>406</v>
      </c>
      <c r="U145" t="s">
        <v>407</v>
      </c>
      <c r="V145" t="s">
        <v>98</v>
      </c>
      <c r="W145" t="s">
        <v>408</v>
      </c>
      <c r="X145" t="s">
        <v>43</v>
      </c>
      <c r="Y145" t="s">
        <v>63</v>
      </c>
      <c r="Z145" t="s">
        <v>341</v>
      </c>
      <c r="AA145" t="s">
        <v>409</v>
      </c>
      <c r="AB145" t="s">
        <v>410</v>
      </c>
      <c r="AC145" t="s">
        <v>614</v>
      </c>
      <c r="AD145" t="s">
        <v>27</v>
      </c>
      <c r="AE145" t="s">
        <v>550</v>
      </c>
      <c r="AF145" s="2">
        <v>45244</v>
      </c>
      <c r="AG145" t="s">
        <v>355</v>
      </c>
      <c r="AH145" t="s">
        <v>551</v>
      </c>
      <c r="AI145" s="2">
        <v>45244</v>
      </c>
      <c r="AJ145" t="s">
        <v>355</v>
      </c>
    </row>
    <row r="146" spans="1:36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5</v>
      </c>
      <c r="H146" t="s">
        <v>6</v>
      </c>
      <c r="I146" t="s">
        <v>127</v>
      </c>
      <c r="J146" t="s">
        <v>128</v>
      </c>
      <c r="K146" t="s">
        <v>129</v>
      </c>
      <c r="L146" t="s">
        <v>203</v>
      </c>
      <c r="M146" t="s">
        <v>204</v>
      </c>
      <c r="N146" t="s">
        <v>205</v>
      </c>
      <c r="O146" s="2">
        <v>45244</v>
      </c>
      <c r="P146" t="s">
        <v>615</v>
      </c>
      <c r="Q146" t="s">
        <v>114</v>
      </c>
      <c r="R146" t="s">
        <v>404</v>
      </c>
      <c r="S146" t="s">
        <v>405</v>
      </c>
      <c r="T146" t="s">
        <v>406</v>
      </c>
      <c r="U146" t="s">
        <v>407</v>
      </c>
      <c r="V146" t="s">
        <v>98</v>
      </c>
      <c r="W146" t="s">
        <v>408</v>
      </c>
      <c r="X146" t="s">
        <v>43</v>
      </c>
      <c r="Y146" t="s">
        <v>63</v>
      </c>
      <c r="Z146" t="s">
        <v>341</v>
      </c>
      <c r="AA146" t="s">
        <v>409</v>
      </c>
      <c r="AB146" t="s">
        <v>410</v>
      </c>
      <c r="AC146" t="s">
        <v>616</v>
      </c>
      <c r="AD146" t="s">
        <v>27</v>
      </c>
      <c r="AE146" t="s">
        <v>550</v>
      </c>
      <c r="AF146" s="2">
        <v>45244</v>
      </c>
      <c r="AG146" t="s">
        <v>355</v>
      </c>
      <c r="AH146" t="s">
        <v>551</v>
      </c>
      <c r="AI146" s="2">
        <v>45244</v>
      </c>
      <c r="AJ146" t="s">
        <v>355</v>
      </c>
    </row>
    <row r="147" spans="1:36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5</v>
      </c>
      <c r="H147" t="s">
        <v>6</v>
      </c>
      <c r="I147" t="s">
        <v>127</v>
      </c>
      <c r="J147" t="s">
        <v>128</v>
      </c>
      <c r="K147" t="s">
        <v>129</v>
      </c>
      <c r="L147" t="s">
        <v>203</v>
      </c>
      <c r="M147" t="s">
        <v>204</v>
      </c>
      <c r="N147" t="s">
        <v>205</v>
      </c>
      <c r="O147" s="2">
        <v>45244</v>
      </c>
      <c r="P147" t="s">
        <v>615</v>
      </c>
      <c r="Q147" t="s">
        <v>14</v>
      </c>
      <c r="R147" t="s">
        <v>404</v>
      </c>
      <c r="S147" t="s">
        <v>405</v>
      </c>
      <c r="T147" t="s">
        <v>406</v>
      </c>
      <c r="U147" t="s">
        <v>407</v>
      </c>
      <c r="V147" t="s">
        <v>98</v>
      </c>
      <c r="W147" t="s">
        <v>408</v>
      </c>
      <c r="X147" t="s">
        <v>43</v>
      </c>
      <c r="Y147" t="s">
        <v>63</v>
      </c>
      <c r="Z147" t="s">
        <v>341</v>
      </c>
      <c r="AA147" t="s">
        <v>409</v>
      </c>
      <c r="AB147" t="s">
        <v>410</v>
      </c>
      <c r="AC147" t="s">
        <v>616</v>
      </c>
      <c r="AD147" t="s">
        <v>27</v>
      </c>
      <c r="AE147" t="s">
        <v>550</v>
      </c>
      <c r="AF147" s="2">
        <v>45244</v>
      </c>
      <c r="AG147" t="s">
        <v>355</v>
      </c>
      <c r="AH147" t="s">
        <v>551</v>
      </c>
      <c r="AI147" s="2">
        <v>45244</v>
      </c>
      <c r="AJ147" t="s">
        <v>355</v>
      </c>
    </row>
    <row r="148" spans="1:36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5</v>
      </c>
      <c r="H148" t="s">
        <v>6</v>
      </c>
      <c r="I148" t="s">
        <v>127</v>
      </c>
      <c r="J148" t="s">
        <v>128</v>
      </c>
      <c r="K148" t="s">
        <v>129</v>
      </c>
      <c r="L148" t="s">
        <v>203</v>
      </c>
      <c r="M148" t="s">
        <v>204</v>
      </c>
      <c r="N148" t="s">
        <v>205</v>
      </c>
      <c r="O148" s="2">
        <v>45244</v>
      </c>
      <c r="P148" t="s">
        <v>617</v>
      </c>
      <c r="Q148" t="s">
        <v>14</v>
      </c>
      <c r="R148" t="s">
        <v>404</v>
      </c>
      <c r="S148" t="s">
        <v>405</v>
      </c>
      <c r="T148" t="s">
        <v>406</v>
      </c>
      <c r="U148" t="s">
        <v>407</v>
      </c>
      <c r="V148" t="s">
        <v>98</v>
      </c>
      <c r="W148" t="s">
        <v>408</v>
      </c>
      <c r="X148" t="s">
        <v>43</v>
      </c>
      <c r="Y148" t="s">
        <v>63</v>
      </c>
      <c r="Z148" t="s">
        <v>341</v>
      </c>
      <c r="AA148" t="s">
        <v>409</v>
      </c>
      <c r="AB148" t="s">
        <v>410</v>
      </c>
      <c r="AC148" t="s">
        <v>618</v>
      </c>
      <c r="AD148" t="s">
        <v>27</v>
      </c>
      <c r="AE148" t="s">
        <v>550</v>
      </c>
      <c r="AF148" s="2">
        <v>45244</v>
      </c>
      <c r="AG148" t="s">
        <v>355</v>
      </c>
      <c r="AH148" t="s">
        <v>551</v>
      </c>
      <c r="AI148" s="2">
        <v>45244</v>
      </c>
      <c r="AJ148" t="s">
        <v>355</v>
      </c>
    </row>
    <row r="149" spans="1:36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5</v>
      </c>
      <c r="H149" t="s">
        <v>6</v>
      </c>
      <c r="I149" t="s">
        <v>127</v>
      </c>
      <c r="J149" t="s">
        <v>128</v>
      </c>
      <c r="K149" t="s">
        <v>129</v>
      </c>
      <c r="L149" t="s">
        <v>203</v>
      </c>
      <c r="M149" t="s">
        <v>204</v>
      </c>
      <c r="N149" t="s">
        <v>205</v>
      </c>
      <c r="O149" s="2">
        <v>45244</v>
      </c>
      <c r="P149" t="s">
        <v>617</v>
      </c>
      <c r="Q149" t="s">
        <v>114</v>
      </c>
      <c r="R149" t="s">
        <v>404</v>
      </c>
      <c r="S149" t="s">
        <v>405</v>
      </c>
      <c r="T149" t="s">
        <v>406</v>
      </c>
      <c r="U149" t="s">
        <v>407</v>
      </c>
      <c r="V149" t="s">
        <v>98</v>
      </c>
      <c r="W149" t="s">
        <v>408</v>
      </c>
      <c r="X149" t="s">
        <v>43</v>
      </c>
      <c r="Y149" t="s">
        <v>63</v>
      </c>
      <c r="Z149" t="s">
        <v>341</v>
      </c>
      <c r="AA149" t="s">
        <v>409</v>
      </c>
      <c r="AB149" t="s">
        <v>410</v>
      </c>
      <c r="AC149" t="s">
        <v>618</v>
      </c>
      <c r="AD149" t="s">
        <v>27</v>
      </c>
      <c r="AE149" t="s">
        <v>550</v>
      </c>
      <c r="AF149" s="2">
        <v>45244</v>
      </c>
      <c r="AG149" t="s">
        <v>355</v>
      </c>
      <c r="AH149" t="s">
        <v>551</v>
      </c>
      <c r="AI149" s="2">
        <v>45244</v>
      </c>
      <c r="AJ149" t="s">
        <v>355</v>
      </c>
    </row>
    <row r="150" spans="1:36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5</v>
      </c>
      <c r="H150" t="s">
        <v>6</v>
      </c>
      <c r="I150" t="s">
        <v>52</v>
      </c>
      <c r="J150" t="s">
        <v>53</v>
      </c>
      <c r="K150" t="s">
        <v>293</v>
      </c>
      <c r="L150" t="s">
        <v>294</v>
      </c>
      <c r="M150" t="s">
        <v>295</v>
      </c>
      <c r="N150" t="s">
        <v>296</v>
      </c>
      <c r="O150" s="2">
        <v>45244</v>
      </c>
      <c r="P150" t="s">
        <v>619</v>
      </c>
      <c r="Q150" t="s">
        <v>14</v>
      </c>
      <c r="R150" t="s">
        <v>620</v>
      </c>
      <c r="S150" t="s">
        <v>621</v>
      </c>
      <c r="T150" t="s">
        <v>622</v>
      </c>
      <c r="U150" t="s">
        <v>623</v>
      </c>
      <c r="V150" t="s">
        <v>19</v>
      </c>
      <c r="W150" t="s">
        <v>388</v>
      </c>
      <c r="X150" t="s">
        <v>21</v>
      </c>
      <c r="Y150" t="s">
        <v>121</v>
      </c>
      <c r="Z150" t="s">
        <v>64</v>
      </c>
      <c r="AA150" t="s">
        <v>24</v>
      </c>
      <c r="AB150" t="s">
        <v>391</v>
      </c>
      <c r="AC150" t="s">
        <v>26</v>
      </c>
      <c r="AD150" t="s">
        <v>27</v>
      </c>
      <c r="AE150" t="s">
        <v>624</v>
      </c>
      <c r="AF150" s="2">
        <v>45237</v>
      </c>
      <c r="AG150" t="s">
        <v>29</v>
      </c>
      <c r="AH150" t="s">
        <v>625</v>
      </c>
      <c r="AI150" s="2">
        <v>45244</v>
      </c>
      <c r="AJ150" t="s">
        <v>29</v>
      </c>
    </row>
    <row r="151" spans="1:36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5</v>
      </c>
      <c r="H151" t="s">
        <v>6</v>
      </c>
      <c r="I151" t="s">
        <v>7</v>
      </c>
      <c r="J151" t="s">
        <v>8</v>
      </c>
      <c r="K151" t="s">
        <v>148</v>
      </c>
      <c r="L151" t="s">
        <v>149</v>
      </c>
      <c r="M151" t="s">
        <v>150</v>
      </c>
      <c r="N151" t="s">
        <v>151</v>
      </c>
      <c r="O151" s="2">
        <v>45244</v>
      </c>
      <c r="P151" t="s">
        <v>626</v>
      </c>
      <c r="Q151" t="s">
        <v>14</v>
      </c>
      <c r="R151" t="s">
        <v>533</v>
      </c>
      <c r="S151" t="s">
        <v>534</v>
      </c>
      <c r="T151" t="s">
        <v>535</v>
      </c>
      <c r="U151" t="s">
        <v>536</v>
      </c>
      <c r="V151" t="s">
        <v>119</v>
      </c>
      <c r="W151" t="s">
        <v>537</v>
      </c>
      <c r="X151" t="s">
        <v>139</v>
      </c>
      <c r="Y151" t="s">
        <v>140</v>
      </c>
      <c r="Z151" t="s">
        <v>228</v>
      </c>
      <c r="AA151" t="s">
        <v>538</v>
      </c>
      <c r="AB151" t="s">
        <v>539</v>
      </c>
      <c r="AC151" t="s">
        <v>540</v>
      </c>
      <c r="AD151" t="s">
        <v>27</v>
      </c>
      <c r="AE151" t="s">
        <v>627</v>
      </c>
      <c r="AF151" s="2">
        <v>45239</v>
      </c>
      <c r="AG151" t="s">
        <v>29</v>
      </c>
      <c r="AH151" t="s">
        <v>628</v>
      </c>
      <c r="AI151" s="2">
        <v>45244</v>
      </c>
      <c r="AJ151" t="s">
        <v>29</v>
      </c>
    </row>
    <row r="152" spans="1:36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5</v>
      </c>
      <c r="H152" t="s">
        <v>6</v>
      </c>
      <c r="I152" t="s">
        <v>7</v>
      </c>
      <c r="J152" t="s">
        <v>8</v>
      </c>
      <c r="K152" t="s">
        <v>148</v>
      </c>
      <c r="L152" t="s">
        <v>149</v>
      </c>
      <c r="M152" t="s">
        <v>150</v>
      </c>
      <c r="N152" t="s">
        <v>151</v>
      </c>
      <c r="O152" s="2">
        <v>45244</v>
      </c>
      <c r="P152" t="s">
        <v>626</v>
      </c>
      <c r="Q152" t="s">
        <v>114</v>
      </c>
      <c r="R152" t="s">
        <v>533</v>
      </c>
      <c r="S152" t="s">
        <v>534</v>
      </c>
      <c r="T152" t="s">
        <v>535</v>
      </c>
      <c r="U152" t="s">
        <v>536</v>
      </c>
      <c r="V152" t="s">
        <v>119</v>
      </c>
      <c r="W152" t="s">
        <v>537</v>
      </c>
      <c r="X152" t="s">
        <v>139</v>
      </c>
      <c r="Y152" t="s">
        <v>140</v>
      </c>
      <c r="Z152" t="s">
        <v>228</v>
      </c>
      <c r="AA152" t="s">
        <v>538</v>
      </c>
      <c r="AB152" t="s">
        <v>539</v>
      </c>
      <c r="AC152" t="s">
        <v>540</v>
      </c>
      <c r="AD152" t="s">
        <v>27</v>
      </c>
      <c r="AE152" t="s">
        <v>627</v>
      </c>
      <c r="AF152" s="2">
        <v>45239</v>
      </c>
      <c r="AG152" t="s">
        <v>29</v>
      </c>
      <c r="AH152" t="s">
        <v>628</v>
      </c>
      <c r="AI152" s="2">
        <v>45244</v>
      </c>
      <c r="AJ152" t="s">
        <v>29</v>
      </c>
    </row>
    <row r="153" spans="1:36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5</v>
      </c>
      <c r="H153" t="s">
        <v>6</v>
      </c>
      <c r="I153" t="s">
        <v>107</v>
      </c>
      <c r="J153" t="s">
        <v>108</v>
      </c>
      <c r="K153" t="s">
        <v>418</v>
      </c>
      <c r="L153" t="s">
        <v>629</v>
      </c>
      <c r="M153" t="s">
        <v>630</v>
      </c>
      <c r="N153" t="s">
        <v>631</v>
      </c>
      <c r="O153" s="2">
        <v>45244</v>
      </c>
      <c r="P153" t="s">
        <v>632</v>
      </c>
      <c r="Q153" t="s">
        <v>14</v>
      </c>
      <c r="R153" t="s">
        <v>633</v>
      </c>
      <c r="S153" t="s">
        <v>634</v>
      </c>
      <c r="T153" t="s">
        <v>635</v>
      </c>
      <c r="U153" t="s">
        <v>636</v>
      </c>
      <c r="V153" t="s">
        <v>19</v>
      </c>
      <c r="W153" t="s">
        <v>20</v>
      </c>
      <c r="X153" t="s">
        <v>21</v>
      </c>
      <c r="Y153" t="s">
        <v>22</v>
      </c>
      <c r="Z153" t="s">
        <v>86</v>
      </c>
      <c r="AA153" t="s">
        <v>496</v>
      </c>
      <c r="AB153" t="s">
        <v>25</v>
      </c>
      <c r="AC153" t="s">
        <v>26</v>
      </c>
      <c r="AD153" t="s">
        <v>27</v>
      </c>
      <c r="AE153" t="s">
        <v>637</v>
      </c>
      <c r="AF153" s="2">
        <v>45206</v>
      </c>
      <c r="AG153" t="s">
        <v>29</v>
      </c>
      <c r="AH153" t="s">
        <v>638</v>
      </c>
      <c r="AI153" s="2">
        <v>45230</v>
      </c>
      <c r="AJ153" t="s">
        <v>29</v>
      </c>
    </row>
  </sheetData>
  <autoFilter ref="A1:AJ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2023-11-15T05:40:50Z</dcterms:modified>
  <cp:category/>
</cp:coreProperties>
</file>